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 activeTab="5"/>
  </bookViews>
  <sheets>
    <sheet name="Inputs" sheetId="1" r:id="rId1"/>
    <sheet name="Devices" sheetId="2" r:id="rId2"/>
    <sheet name="Summary" sheetId="3" r:id="rId3"/>
    <sheet name="Yearly" sheetId="4" r:id="rId4"/>
    <sheet name="Dashboard" sheetId="5" r:id="rId5"/>
    <sheet name="Scenarios" sheetId="6" r:id="rId6"/>
    <sheet name="Sensitivity" sheetId="7" r:id="rId7"/>
    <sheet name="Data Definitio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rFont val="Tahoma"/>
            <charset val="134"/>
          </rPr>
          <t>Scenario selection｜选择场景
EN: Choose a case from Scenarios table.
CN: 从 Scenarios 表选择一个案例。</t>
        </r>
      </text>
    </comment>
    <comment ref="B4" authorId="0">
      <text>
        <r>
          <rPr>
            <sz val="8"/>
            <rFont val="Tahoma"/>
            <charset val="134"/>
          </rPr>
          <t>Client/Project｜客户/项目
EN: Customer or plant.
CN: 客户名或电站名称。</t>
        </r>
      </text>
    </comment>
    <comment ref="B5" authorId="0">
      <text>
        <r>
          <rPr>
            <sz val="8"/>
            <rFont val="Tahoma"/>
            <charset val="134"/>
          </rPr>
          <t>Region｜区域
EN: Country/Region.
CN: 国家/地区。</t>
        </r>
      </text>
    </comment>
    <comment ref="B6" authorId="0">
      <text>
        <r>
          <rPr>
            <sz val="8"/>
            <rFont val="Tahoma"/>
            <charset val="134"/>
          </rPr>
          <t>Date｜日期
EN: Case creation date.
CN: 建立案例日期。</t>
        </r>
      </text>
    </comment>
    <comment ref="B7" authorId="0">
      <text>
        <r>
          <rPr>
            <sz val="8"/>
            <rFont val="Tahoma"/>
            <charset val="134"/>
          </rPr>
          <t>Notes｜备注
EN: Special requirements/context.
CN: 特殊要求/背景。</t>
        </r>
      </text>
    </comment>
    <comment ref="B10" authorId="0">
      <text>
        <r>
          <rPr>
            <sz val="8"/>
            <rFont val="Tahoma"/>
            <charset val="134"/>
          </rPr>
          <t>EN: Installed capacity (MW). CN: 装机容量（MW）。</t>
        </r>
      </text>
    </comment>
    <comment ref="B11" authorId="0">
      <text>
        <r>
          <rPr>
            <sz val="8"/>
            <rFont val="Tahoma"/>
            <charset val="134"/>
          </rPr>
          <t>EN: Cleanings per year. CN: 每年清洗次数。</t>
        </r>
      </text>
    </comment>
    <comment ref="B12" authorId="0">
      <text>
        <r>
          <rPr>
            <sz val="8"/>
            <rFont val="Tahoma"/>
            <charset val="134"/>
          </rPr>
          <t>EN: Manual cost per MW per cycle. CN: 每兆瓦每次人工费用。</t>
        </r>
      </text>
    </comment>
    <comment ref="B13" authorId="0">
      <text>
        <r>
          <rPr>
            <sz val="8"/>
            <rFont val="Tahoma"/>
            <charset val="134"/>
          </rPr>
          <t>EN: Efficiency gain after cleaning. CN: 清洁后的效率提升百分比。</t>
        </r>
      </text>
    </comment>
    <comment ref="B14" authorId="0">
      <text>
        <r>
          <rPr>
            <sz val="8"/>
            <rFont val="Tahoma"/>
            <charset val="134"/>
          </rPr>
          <t>EN: Selling price per kWh. CN: 售电单价。</t>
        </r>
      </text>
    </comment>
    <comment ref="B15" authorId="0">
      <text>
        <r>
          <rPr>
            <sz val="8"/>
            <rFont val="Tahoma"/>
            <charset val="134"/>
          </rPr>
          <t>EN: Actual ÷ theoretical generation. CN: 实际/理论年发电量比。</t>
        </r>
      </text>
    </comment>
    <comment ref="B16" authorId="0">
      <text>
        <r>
          <rPr>
            <sz val="8"/>
            <rFont val="Tahoma"/>
            <charset val="134"/>
          </rPr>
          <t>EN: Days to finish one cycle. CN: 完成一轮清扫允许天数。</t>
        </r>
      </text>
    </comment>
    <comment ref="B17" authorId="0">
      <text>
        <r>
          <rPr>
            <sz val="8"/>
            <rFont val="Tahoma"/>
            <charset val="134"/>
          </rPr>
          <t>EN: Shifts per day (1 or 2). CN: 每天班次数（1或2）。</t>
        </r>
      </text>
    </comment>
    <comment ref="B18" authorId="0">
      <text>
        <r>
          <rPr>
            <sz val="8"/>
            <rFont val="Tahoma"/>
            <charset val="134"/>
          </rPr>
          <t>EN: Extra capacity buffer. CN: 能力冗余系数。</t>
        </r>
      </text>
    </comment>
    <comment ref="B19" authorId="0">
      <text>
        <r>
          <rPr>
            <sz val="8"/>
            <rFont val="Tahoma"/>
            <charset val="134"/>
          </rPr>
          <t>EN: Analysis period (years). CN: 财务测算期（年）。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Enable｜启用
EN: 1=Include in calc, 0=Ignore.
CN: 是否参与计算。</t>
        </r>
      </text>
    </comment>
    <comment ref="B1" authorId="0">
      <text>
        <r>
          <rPr>
            <sz val="8"/>
            <rFont val="Tahoma"/>
            <charset val="134"/>
          </rPr>
          <t>Device｜设备
EN: Cleaning device type.
CN: 清洁设备类型。</t>
        </r>
      </text>
    </comment>
    <comment ref="C1" authorId="0">
      <text>
        <r>
          <rPr>
            <sz val="8"/>
            <rFont val="Tahoma"/>
            <charset val="134"/>
          </rPr>
          <t>Method｜清洁方式
EN: Dry/Wet supported.
CN: 支持干/湿清洁。</t>
        </r>
      </text>
    </comment>
    <comment ref="D1" authorId="0">
      <text>
        <r>
          <rPr>
            <sz val="8"/>
            <rFont val="Tahoma"/>
            <charset val="134"/>
          </rPr>
          <t>Unit price｜单价
EN: Purchase price per unit (CAPEX).
CN: 单台采购价（资本支出）。</t>
        </r>
      </text>
    </comment>
    <comment ref="E1" authorId="0">
      <text>
        <r>
          <rPr>
            <sz val="8"/>
            <rFont val="Tahoma"/>
            <charset val="134"/>
          </rPr>
          <t>Capacity｜效率
EN: MW cleaned per day.
CN: 每日清扫能力（MW/天）。</t>
        </r>
      </text>
    </comment>
    <comment ref="F1" authorId="0">
      <text>
        <r>
          <rPr>
            <sz val="8"/>
            <rFont val="Tahoma"/>
            <charset val="134"/>
          </rPr>
          <t>Consumable｜耗材单价
EN: Cost per replacement.
CN: 每次更换耗材成本。</t>
        </r>
      </text>
    </comment>
    <comment ref="G1" authorId="0">
      <text>
        <r>
          <rPr>
            <sz val="8"/>
            <rFont val="Tahoma"/>
            <charset val="134"/>
          </rPr>
          <t>Interval｜更换周期(月)
EN: Consumable replacement interval.
CN: 耗材更换周期（月）。</t>
        </r>
      </text>
    </comment>
    <comment ref="H1" authorId="0">
      <text>
        <r>
          <rPr>
            <sz val="8"/>
            <rFont val="Tahoma"/>
            <charset val="134"/>
          </rPr>
          <t>Warranty｜延保/年
EN: Extended warranty per year.
CN: 每年延保费用。</t>
        </r>
      </text>
    </comment>
    <comment ref="I1" authorId="0">
      <text>
        <r>
          <rPr>
            <sz val="8"/>
            <rFont val="Tahoma"/>
            <charset val="134"/>
          </rPr>
          <t>Lifetime｜寿命(年)
EN: Expected service life.
CN: 预计使用寿命。</t>
        </r>
      </text>
    </comment>
    <comment ref="J1" authorId="0">
      <text>
        <r>
          <rPr>
            <sz val="8"/>
            <rFont val="Tahoma"/>
            <charset val="134"/>
          </rPr>
          <t>Units｜采购数量
EN: Number of units purchased.
CN: 采购台数。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Total capacity｜单周期总清扫能力
EN: Cleaning capacity per cycle (MW).
CN: 单周期最大可清扫容量（MW）。</t>
        </r>
      </text>
    </comment>
    <comment ref="B1" authorId="0">
      <text>
        <r>
          <rPr>
            <sz val="8"/>
            <rFont val="Tahoma"/>
            <charset val="134"/>
          </rPr>
          <t>Adequacy｜能力覆盖是否达标
EN: Capacity per cycle &gt;= Plant size × redundancy?
CN: 单周期能力是否覆盖电站规模×冗余。</t>
        </r>
      </text>
    </comment>
    <comment ref="C1" authorId="0">
      <text>
        <r>
          <rPr>
            <sz val="8"/>
            <rFont val="Tahoma"/>
            <charset val="134"/>
          </rPr>
          <t>Annual manual cost｜年度人工成本
EN: Plant×Freq×Manual.
CN: 电站规模×频次×人工单价。</t>
        </r>
      </text>
    </comment>
    <comment ref="D1" authorId="0">
      <text>
        <r>
          <rPr>
            <sz val="8"/>
            <rFont val="Tahoma"/>
            <charset val="134"/>
          </rPr>
          <t>Annual robot cost｜年度机器人成本
EN: Depreciation+consumables+warranty.
CN: 折旧+耗材+延保。</t>
        </r>
      </text>
    </comment>
    <comment ref="E1" authorId="0">
      <text>
        <r>
          <rPr>
            <sz val="8"/>
            <rFont val="Tahoma"/>
            <charset val="134"/>
          </rPr>
          <t>Annual savings｜年度节省
EN: Manual – Robot.
CN: 人工成本减机器人成本。</t>
        </r>
      </text>
    </comment>
    <comment ref="F1" authorId="0">
      <text>
        <r>
          <rPr>
            <sz val="8"/>
            <rFont val="Tahoma"/>
            <charset val="134"/>
          </rPr>
          <t>CAPEX｜前期投入
EN: Sum of purchase prices.
CN: 采购费用总和。</t>
        </r>
      </text>
    </comment>
    <comment ref="G1" authorId="0">
      <text>
        <r>
          <rPr>
            <sz val="8"/>
            <rFont val="Tahoma"/>
            <charset val="134"/>
          </rPr>
          <t>Payback year｜回本年
EN: First year when cumulative savings ≥ CAPEX.
CN: 累计节省首次≥投入的年份。</t>
        </r>
      </text>
    </comment>
    <comment ref="H1" authorId="0">
      <text>
        <r>
          <rPr>
            <sz val="8"/>
            <rFont val="Tahoma"/>
            <charset val="134"/>
          </rPr>
          <t>ROI｜投资回报率
EN: (Cum savings – CAPEX)/CAPEX over horizon.
CN: 测算期 ROI。</t>
        </r>
      </text>
    </comment>
    <comment ref="I1" authorId="0">
      <text>
        <r>
          <rPr>
            <sz val="8"/>
            <rFont val="Tahoma"/>
            <charset val="134"/>
          </rPr>
          <t>Annual generation｜年发电量
EN: Plant×1000×8760×CapFactor.
CN: 装机×1000×8760×容量系数。</t>
        </r>
      </text>
    </comment>
    <comment ref="J1" authorId="0">
      <text>
        <r>
          <rPr>
            <sz val="8"/>
            <rFont val="Tahoma"/>
            <charset val="134"/>
          </rPr>
          <t>Extra revenue｜增收（污损减少）
EN: Generation×Price×Soiling%.
CN: 年发电×电价×污损改善率。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Year｜年
EN: Sequence year within horizon.
CN: 测算期内的年份序号。</t>
        </r>
      </text>
    </comment>
    <comment ref="B1" authorId="0">
      <text>
        <r>
          <rPr>
            <sz val="8"/>
            <rFont val="Tahoma"/>
            <charset val="134"/>
          </rPr>
          <t>Manual｜人工成本
EN: Annual manual cleaning cost.
CN: 年度人工清洗成本。</t>
        </r>
      </text>
    </comment>
    <comment ref="C1" authorId="0">
      <text>
        <r>
          <rPr>
            <sz val="8"/>
            <rFont val="Tahoma"/>
            <charset val="134"/>
          </rPr>
          <t>Robot｜机器人成本
EN: Annualized robot cost.
CN: 年度机器人成本。</t>
        </r>
      </text>
    </comment>
    <comment ref="D1" authorId="0">
      <text>
        <r>
          <rPr>
            <sz val="8"/>
            <rFont val="Tahoma"/>
            <charset val="134"/>
          </rPr>
          <t>Savings｜年度节省
EN: Manual – Robot.
CN: 人工-机器人。</t>
        </r>
      </text>
    </comment>
    <comment ref="E1" authorId="0">
      <text>
        <r>
          <rPr>
            <sz val="8"/>
            <rFont val="Tahoma"/>
            <charset val="134"/>
          </rPr>
          <t>Cum savings｜累计节省
EN: Sum of annual savings.
CN: 各年节省累计。</t>
        </r>
      </text>
    </comment>
    <comment ref="F1" authorId="0">
      <text>
        <r>
          <rPr>
            <sz val="8"/>
            <rFont val="Tahoma"/>
            <charset val="134"/>
          </rPr>
          <t>CAPEX｜前期投入
EN: Initial purchase cost.
CN: 一次性采购投入。</t>
        </r>
      </text>
    </comment>
    <comment ref="G1" authorId="0">
      <text>
        <r>
          <rPr>
            <sz val="8"/>
            <rFont val="Tahoma"/>
            <charset val="134"/>
          </rPr>
          <t>Cum&gt;=CAPEX?｜累计≥投入?
EN: Whether payback achieved.
CN: 是否达到回本。</t>
        </r>
      </text>
    </comment>
    <comment ref="H1" authorId="0">
      <text>
        <r>
          <rPr>
            <sz val="8"/>
            <rFont val="Tahoma"/>
            <charset val="134"/>
          </rPr>
          <t>Cum+Revenue｜累计节省+增收
EN: Cum savings + extra revenue.
CN: 累计节省+发电增收。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Dashboard｜看板
EN: Charts auto-update with inputs/devices/scenarios.
CN: 图表会随输入/设备/场景自动联动更新。</t>
        </r>
      </text>
    </comment>
    <comment ref="A3" authorId="0">
      <text>
        <r>
          <rPr>
            <sz val="8"/>
            <rFont val="Tahoma"/>
            <charset val="134"/>
          </rPr>
          <t>Annual Cost Comparison｜年度成本对比
EN: Manual vs Robot annual cost.
CN: 人工与机器人成本年度对比。</t>
        </r>
      </text>
    </comment>
    <comment ref="J3" authorId="0">
      <text>
        <r>
          <rPr>
            <sz val="8"/>
            <rFont val="Tahoma"/>
            <charset val="134"/>
          </rPr>
          <t>Cumulative Savings vs CAPEX｜累计节省 对比 前期投入
EN: Shows payback crossover.
CN: 展示累计节省与投入的交点（回本）。</t>
        </r>
      </text>
    </comment>
    <comment ref="A20" authorId="0">
      <text>
        <r>
          <rPr>
            <sz val="8"/>
            <rFont val="Tahoma"/>
            <charset val="134"/>
          </rPr>
          <t>Cumulative Economic Benefits｜累计经济效益
EN: Cum savings incl. extra revenue.
CN: 包含增收的累计经济效益。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Scenario｜场景
EN: Predefined or custom case name.
CN: 预设或自定义场景名称。</t>
        </r>
      </text>
    </comment>
    <comment ref="B1" authorId="0">
      <text>
        <r>
          <rPr>
            <sz val="8"/>
            <rFont val="Tahoma"/>
            <charset val="134"/>
          </rPr>
          <t>Client/Project｜客户/项目
EN: Customer or plant name.
CN: 客户名或电站项目名。</t>
        </r>
      </text>
    </comment>
    <comment ref="C1" authorId="0">
      <text>
        <r>
          <rPr>
            <sz val="8"/>
            <rFont val="Tahoma"/>
            <charset val="134"/>
          </rPr>
          <t>Region｜区域
EN: Country/Region of the site.
CN: 电站所在国家/地区。</t>
        </r>
      </text>
    </comment>
    <comment ref="D1" authorId="0">
      <text>
        <r>
          <rPr>
            <sz val="8"/>
            <rFont val="Tahoma"/>
            <charset val="134"/>
          </rPr>
          <t>Date｜日期
EN: Case creation date.
CN: 建立案例日期。</t>
        </r>
      </text>
    </comment>
    <comment ref="E1" authorId="0">
      <text>
        <r>
          <rPr>
            <sz val="8"/>
            <rFont val="Tahoma"/>
            <charset val="134"/>
          </rPr>
          <t>Plant｜电站规模(MW)
EN: Installed capacity (MW).
CN: 装机容量（MW）。</t>
        </r>
      </text>
    </comment>
    <comment ref="F1" authorId="0">
      <text>
        <r>
          <rPr>
            <sz val="8"/>
            <rFont val="Tahoma"/>
            <charset val="134"/>
          </rPr>
          <t>Freq｜清洗频次
EN: Cleanings per year.
CN: 每年清洗次数。</t>
        </r>
      </text>
    </comment>
    <comment ref="G1" authorId="0">
      <text>
        <r>
          <rPr>
            <sz val="8"/>
            <rFont val="Tahoma"/>
            <charset val="134"/>
          </rPr>
          <t>Manual｜人工单价
EN: Manual cost per MW per cycle.
CN: 每兆瓦每次人工清洗费用。</t>
        </r>
      </text>
    </comment>
    <comment ref="H1" authorId="0">
      <text>
        <r>
          <rPr>
            <sz val="8"/>
            <rFont val="Tahoma"/>
            <charset val="134"/>
          </rPr>
          <t>Soiling｜污损改善率(%)
EN: Efficiency gain from cleaning.
CN: 清洁带来的效率提升百分比。</t>
        </r>
      </text>
    </comment>
    <comment ref="I1" authorId="0">
      <text>
        <r>
          <rPr>
            <sz val="8"/>
            <rFont val="Tahoma"/>
            <charset val="134"/>
          </rPr>
          <t>ElecPrice｜电价
EN: Electricity price (¥/kWh).
CN: 上网电价（元/度）。</t>
        </r>
      </text>
    </comment>
    <comment ref="J1" authorId="0">
      <text>
        <r>
          <rPr>
            <sz val="8"/>
            <rFont val="Tahoma"/>
            <charset val="134"/>
          </rPr>
          <t>CapFactor｜容量系数(%)
EN: Actual ÷ theoretical generation.
CN: 实际/理论年发电量比。</t>
        </r>
      </text>
    </comment>
    <comment ref="K1" authorId="0">
      <text>
        <r>
          <rPr>
            <sz val="8"/>
            <rFont val="Tahoma"/>
            <charset val="134"/>
          </rPr>
          <t>Window｜施工窗(日)
EN: Days allowed per cycle.
CN: 完成一轮清扫的天数。</t>
        </r>
      </text>
    </comment>
    <comment ref="L1" authorId="0">
      <text>
        <r>
          <rPr>
            <sz val="8"/>
            <rFont val="Tahoma"/>
            <charset val="134"/>
          </rPr>
          <t>Shifts｜班次数
EN: Shifts per day (1 or 2).
CN: 每天班次数（1或2）。</t>
        </r>
      </text>
    </comment>
    <comment ref="M1" authorId="0">
      <text>
        <r>
          <rPr>
            <sz val="8"/>
            <rFont val="Tahoma"/>
            <charset val="134"/>
          </rPr>
          <t>Redundancy｜冗余系数
EN: Extra buffer (e.g.,1.1).
CN: 能力冗余系数。</t>
        </r>
      </text>
    </comment>
    <comment ref="N1" authorId="0">
      <text>
        <r>
          <rPr>
            <sz val="8"/>
            <rFont val="Tahoma"/>
            <charset val="134"/>
          </rPr>
          <t>Horizon｜测算年限
EN: Analysis period (years).
CN: 财务测算期（年）。</t>
        </r>
      </text>
    </comment>
    <comment ref="O1" authorId="0">
      <text>
        <r>
          <rPr>
            <sz val="8"/>
            <rFont val="Tahoma"/>
            <charset val="134"/>
          </rPr>
          <t>Notes｜备注
EN: Key context/requirements.
CN: 关键背景/需求说明。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Sensitivity｜敏感性
EN: ROI heatmap by Manual (rows) and Frequency (cols).
CN: 以人工单价×清洗频次为维度的 ROI 热力图。</t>
        </r>
      </text>
    </comment>
    <comment ref="B1" authorId="0">
      <text>
        <r>
          <rPr>
            <sz val="8"/>
            <rFont val="Tahoma"/>
            <charset val="134"/>
          </rPr>
          <t>Freq｜清洗频次
EN: Cleanings per year.
CN: 每年清洗次数。</t>
        </r>
      </text>
    </comment>
    <comment ref="C1" authorId="0">
      <text>
        <r>
          <rPr>
            <sz val="8"/>
            <rFont val="Tahoma"/>
            <charset val="134"/>
          </rPr>
          <t>Freq｜清洗频次
EN: Cleanings per year.
CN: 每年清洗次数。</t>
        </r>
      </text>
    </comment>
    <comment ref="D1" authorId="0">
      <text>
        <r>
          <rPr>
            <sz val="8"/>
            <rFont val="Tahoma"/>
            <charset val="134"/>
          </rPr>
          <t>Freq｜清洗频次
EN: Cleanings per year.
CN: 每年清洗次数。</t>
        </r>
      </text>
    </comment>
    <comment ref="E1" authorId="0">
      <text>
        <r>
          <rPr>
            <sz val="8"/>
            <rFont val="Tahoma"/>
            <charset val="134"/>
          </rPr>
          <t>Freq｜清洗频次
EN: Cleanings per year.
CN: 每年清洗次数。</t>
        </r>
      </text>
    </comment>
    <comment ref="F1" authorId="0">
      <text>
        <r>
          <rPr>
            <sz val="8"/>
            <rFont val="Tahoma"/>
            <charset val="134"/>
          </rPr>
          <t>Freq｜清洗频次
EN: Cleanings per year.
CN: 每年清洗次数。</t>
        </r>
      </text>
    </comment>
    <comment ref="A2" authorId="0">
      <text>
        <r>
          <rPr>
            <sz val="8"/>
            <rFont val="Tahoma"/>
            <charset val="134"/>
          </rPr>
          <t>Manual｜人工单价
EN: Manual cost per MW per cleaning.
CN: 每兆瓦每次人工费用。</t>
        </r>
      </text>
    </comment>
    <comment ref="A3" authorId="0">
      <text>
        <r>
          <rPr>
            <sz val="8"/>
            <rFont val="Tahoma"/>
            <charset val="134"/>
          </rPr>
          <t>Manual｜人工单价
EN: Manual cost per MW per cleaning.
CN: 每兆瓦每次人工费用。</t>
        </r>
      </text>
    </comment>
    <comment ref="A4" authorId="0">
      <text>
        <r>
          <rPr>
            <sz val="8"/>
            <rFont val="Tahoma"/>
            <charset val="134"/>
          </rPr>
          <t>Manual｜人工单价
EN: Manual cost per MW per cleaning.
CN: 每兆瓦每次人工费用。</t>
        </r>
      </text>
    </comment>
    <comment ref="A5" authorId="0">
      <text>
        <r>
          <rPr>
            <sz val="8"/>
            <rFont val="Tahoma"/>
            <charset val="134"/>
          </rPr>
          <t>Manual｜人工单价
EN: Manual cost per MW per cleaning.
CN: 每兆瓦每次人工费用。</t>
        </r>
      </text>
    </comment>
    <comment ref="A6" authorId="0">
      <text>
        <r>
          <rPr>
            <sz val="8"/>
            <rFont val="Tahoma"/>
            <charset val="134"/>
          </rPr>
          <t>Manual｜人工单价
EN: Manual cost per MW per cleaning.
CN: 每兆瓦每次人工费用。</t>
        </r>
      </text>
    </comment>
  </commentList>
</comments>
</file>

<file path=xl/sharedStrings.xml><?xml version="1.0" encoding="utf-8"?>
<sst xmlns="http://schemas.openxmlformats.org/spreadsheetml/2006/main" count="281" uniqueCount="266">
  <si>
    <r>
      <rPr>
        <b/>
        <sz val="11"/>
        <color theme="0"/>
        <rFont val="Calibri"/>
        <charset val="134"/>
      </rPr>
      <t>Scenario</t>
    </r>
    <r>
      <rPr>
        <b/>
        <sz val="11"/>
        <color theme="0"/>
        <rFont val="微软雅黑"/>
        <charset val="134"/>
      </rPr>
      <t>｜场景</t>
    </r>
  </si>
  <si>
    <r>
      <rPr>
        <b/>
        <sz val="11"/>
        <color theme="0"/>
        <rFont val="Calibri"/>
        <charset val="134"/>
      </rPr>
      <t>Value</t>
    </r>
    <r>
      <rPr>
        <b/>
        <sz val="11"/>
        <color theme="0"/>
        <rFont val="微软雅黑"/>
        <charset val="134"/>
      </rPr>
      <t>｜值</t>
    </r>
  </si>
  <si>
    <r>
      <rPr>
        <b/>
        <sz val="11"/>
        <color theme="1"/>
        <rFont val="Calibri"/>
        <charset val="134"/>
      </rPr>
      <t>Scenario selection</t>
    </r>
    <r>
      <rPr>
        <b/>
        <sz val="11"/>
        <color theme="1"/>
        <rFont val="微软雅黑"/>
        <charset val="134"/>
      </rPr>
      <t>｜选择场景</t>
    </r>
  </si>
  <si>
    <t>C&amp;I</t>
  </si>
  <si>
    <r>
      <rPr>
        <b/>
        <sz val="11"/>
        <color theme="1"/>
        <rFont val="Calibri"/>
        <charset val="134"/>
      </rPr>
      <t>Client/Project</t>
    </r>
    <r>
      <rPr>
        <b/>
        <sz val="11"/>
        <color theme="1"/>
        <rFont val="微软雅黑"/>
        <charset val="134"/>
      </rPr>
      <t>｜客户</t>
    </r>
    <r>
      <rPr>
        <b/>
        <sz val="11"/>
        <color theme="1"/>
        <rFont val="Calibri"/>
        <charset val="134"/>
      </rPr>
      <t>/</t>
    </r>
    <r>
      <rPr>
        <b/>
        <sz val="11"/>
        <color theme="1"/>
        <rFont val="微软雅黑"/>
        <charset val="134"/>
      </rPr>
      <t>项目</t>
    </r>
  </si>
  <si>
    <r>
      <rPr>
        <b/>
        <sz val="11"/>
        <color theme="1"/>
        <rFont val="Calibri"/>
        <charset val="134"/>
      </rPr>
      <t>Region</t>
    </r>
    <r>
      <rPr>
        <b/>
        <sz val="11"/>
        <color theme="1"/>
        <rFont val="微软雅黑"/>
        <charset val="134"/>
      </rPr>
      <t>｜区域</t>
    </r>
  </si>
  <si>
    <r>
      <rPr>
        <b/>
        <sz val="11"/>
        <color theme="1"/>
        <rFont val="Calibri"/>
        <charset val="134"/>
      </rPr>
      <t>Date</t>
    </r>
    <r>
      <rPr>
        <b/>
        <sz val="11"/>
        <color theme="1"/>
        <rFont val="微软雅黑"/>
        <charset val="134"/>
      </rPr>
      <t>｜日期</t>
    </r>
  </si>
  <si>
    <r>
      <rPr>
        <b/>
        <sz val="11"/>
        <color theme="1"/>
        <rFont val="Calibri"/>
        <charset val="134"/>
      </rPr>
      <t>Notes</t>
    </r>
    <r>
      <rPr>
        <b/>
        <sz val="11"/>
        <color theme="1"/>
        <rFont val="微软雅黑"/>
        <charset val="134"/>
      </rPr>
      <t>｜备注</t>
    </r>
  </si>
  <si>
    <r>
      <rPr>
        <b/>
        <sz val="11"/>
        <color theme="0"/>
        <rFont val="Calibri"/>
        <charset val="134"/>
      </rPr>
      <t>Parameter</t>
    </r>
    <r>
      <rPr>
        <b/>
        <sz val="11"/>
        <color theme="1"/>
        <rFont val="微软雅黑"/>
        <charset val="134"/>
      </rPr>
      <t>｜参数</t>
    </r>
  </si>
  <si>
    <r>
      <rPr>
        <b/>
        <sz val="11"/>
        <color theme="0"/>
        <rFont val="Calibri"/>
        <charset val="134"/>
      </rPr>
      <t>Value</t>
    </r>
    <r>
      <rPr>
        <b/>
        <sz val="11"/>
        <color theme="1"/>
        <rFont val="微软雅黑"/>
        <charset val="134"/>
      </rPr>
      <t>｜值</t>
    </r>
    <r>
      <rPr>
        <b/>
        <sz val="11"/>
        <color theme="1"/>
        <rFont val="Calibri"/>
        <charset val="134"/>
      </rPr>
      <t xml:space="preserve"> (auto from Scenario)</t>
    </r>
  </si>
  <si>
    <r>
      <rPr>
        <b/>
        <sz val="11"/>
        <color theme="1"/>
        <rFont val="Calibri"/>
        <charset val="134"/>
      </rPr>
      <t>Plant size (MW)</t>
    </r>
    <r>
      <rPr>
        <b/>
        <sz val="11"/>
        <color theme="1"/>
        <rFont val="微软雅黑"/>
        <charset val="134"/>
      </rPr>
      <t>｜电站规模</t>
    </r>
  </si>
  <si>
    <r>
      <rPr>
        <b/>
        <sz val="11"/>
        <color theme="1"/>
        <rFont val="Calibri"/>
        <charset val="134"/>
      </rPr>
      <t>Cleaning frequency (times/year)</t>
    </r>
    <r>
      <rPr>
        <b/>
        <sz val="11"/>
        <color theme="1"/>
        <rFont val="微软雅黑"/>
        <charset val="134"/>
      </rPr>
      <t>｜清洗频次</t>
    </r>
  </si>
  <si>
    <r>
      <rPr>
        <b/>
        <sz val="11"/>
        <color theme="1"/>
        <rFont val="Calibri"/>
        <charset val="134"/>
      </rPr>
      <t>Manual cleaning cost ($/MW per cleaning)</t>
    </r>
    <r>
      <rPr>
        <b/>
        <sz val="11"/>
        <color theme="1"/>
        <rFont val="微软雅黑"/>
        <charset val="134"/>
      </rPr>
      <t>｜人工清洗单价</t>
    </r>
  </si>
  <si>
    <r>
      <rPr>
        <b/>
        <sz val="11"/>
        <color theme="1"/>
        <rFont val="Calibri"/>
        <charset val="134"/>
      </rPr>
      <t>Soiling improvement (%)</t>
    </r>
    <r>
      <rPr>
        <b/>
        <sz val="11"/>
        <color theme="1"/>
        <rFont val="微软雅黑"/>
        <charset val="134"/>
      </rPr>
      <t>｜污损改善率</t>
    </r>
    <r>
      <rPr>
        <b/>
        <sz val="11"/>
        <color theme="1"/>
        <rFont val="Calibri"/>
        <charset val="134"/>
      </rPr>
      <t>(%)</t>
    </r>
  </si>
  <si>
    <r>
      <rPr>
        <b/>
        <sz val="11"/>
        <color theme="1"/>
        <rFont val="Calibri"/>
        <charset val="134"/>
      </rPr>
      <t>Electricity price ($/kWh)</t>
    </r>
    <r>
      <rPr>
        <b/>
        <sz val="11"/>
        <color theme="1"/>
        <rFont val="微软雅黑"/>
        <charset val="134"/>
      </rPr>
      <t>｜上网电价</t>
    </r>
  </si>
  <si>
    <r>
      <rPr>
        <b/>
        <sz val="11"/>
        <color theme="1"/>
        <rFont val="Calibri"/>
        <charset val="134"/>
      </rPr>
      <t>Capacity factor (%)</t>
    </r>
    <r>
      <rPr>
        <b/>
        <sz val="11"/>
        <color theme="1"/>
        <rFont val="微软雅黑"/>
        <charset val="134"/>
      </rPr>
      <t>｜容量系数</t>
    </r>
  </si>
  <si>
    <r>
      <rPr>
        <b/>
        <sz val="11"/>
        <color theme="1"/>
        <rFont val="Calibri"/>
        <charset val="134"/>
      </rPr>
      <t>Cleaning window per cycle (days)</t>
    </r>
    <r>
      <rPr>
        <b/>
        <sz val="11"/>
        <color theme="1"/>
        <rFont val="微软雅黑"/>
        <charset val="134"/>
      </rPr>
      <t>｜每周期施工窗</t>
    </r>
  </si>
  <si>
    <r>
      <rPr>
        <b/>
        <sz val="11"/>
        <color theme="1"/>
        <rFont val="Calibri"/>
        <charset val="134"/>
      </rPr>
      <t>Shifts per day (1=single, 2=day+night)</t>
    </r>
    <r>
      <rPr>
        <b/>
        <sz val="11"/>
        <color theme="1"/>
        <rFont val="微软雅黑"/>
        <charset val="134"/>
      </rPr>
      <t>｜班次数</t>
    </r>
  </si>
  <si>
    <r>
      <rPr>
        <b/>
        <sz val="11"/>
        <color theme="1"/>
        <rFont val="Calibri"/>
        <charset val="134"/>
      </rPr>
      <t>Redundancy factor (e.g., 1.1)</t>
    </r>
    <r>
      <rPr>
        <b/>
        <sz val="11"/>
        <color theme="1"/>
        <rFont val="微软雅黑"/>
        <charset val="134"/>
      </rPr>
      <t>｜冗余系数</t>
    </r>
  </si>
  <si>
    <r>
      <rPr>
        <b/>
        <sz val="11"/>
        <color theme="1"/>
        <rFont val="Calibri"/>
        <charset val="134"/>
      </rPr>
      <t>Analysis horizon (years)</t>
    </r>
    <r>
      <rPr>
        <b/>
        <sz val="11"/>
        <color theme="1"/>
        <rFont val="微软雅黑"/>
        <charset val="134"/>
      </rPr>
      <t>｜测算年限</t>
    </r>
  </si>
  <si>
    <t>Enable</t>
  </si>
  <si>
    <t>Device</t>
  </si>
  <si>
    <t>Method</t>
  </si>
  <si>
    <t>Unit price</t>
  </si>
  <si>
    <t>Capacity</t>
  </si>
  <si>
    <t>Consumable</t>
  </si>
  <si>
    <t>Interval</t>
  </si>
  <si>
    <t>Warranty</t>
  </si>
  <si>
    <t>Lifetime</t>
  </si>
  <si>
    <t>Units</t>
  </si>
  <si>
    <t>NuvaTrack R</t>
  </si>
  <si>
    <t>Dry/Wet</t>
  </si>
  <si>
    <t>NuvaTrack U</t>
  </si>
  <si>
    <t>Dry</t>
  </si>
  <si>
    <t>NuvaSpan</t>
  </si>
  <si>
    <t>Gantry G1</t>
  </si>
  <si>
    <t>Total capacity</t>
  </si>
  <si>
    <t>Adequacy</t>
  </si>
  <si>
    <t>Annual manual cost</t>
  </si>
  <si>
    <t>Annual robot cost</t>
  </si>
  <si>
    <t>Annual savings</t>
  </si>
  <si>
    <t>CAPEX</t>
  </si>
  <si>
    <t>Payback year</t>
  </si>
  <si>
    <t>ROI</t>
  </si>
  <si>
    <t>Annual generation</t>
  </si>
  <si>
    <t>Extra revenue</t>
  </si>
  <si>
    <t>Year</t>
  </si>
  <si>
    <t>Manual</t>
  </si>
  <si>
    <t>Robot</t>
  </si>
  <si>
    <t>Savings</t>
  </si>
  <si>
    <t>Cum savings</t>
  </si>
  <si>
    <t>Cum&gt;=CAPEX?</t>
  </si>
  <si>
    <t>Cum+Revenue</t>
  </si>
  <si>
    <r>
      <rPr>
        <b/>
        <sz val="11"/>
        <color theme="1"/>
        <rFont val="Calibri"/>
        <charset val="134"/>
      </rPr>
      <t>Dashboard</t>
    </r>
    <r>
      <rPr>
        <b/>
        <sz val="11"/>
        <color theme="1"/>
        <rFont val="宋体"/>
        <charset val="134"/>
      </rPr>
      <t>｜看板（修改</t>
    </r>
    <r>
      <rPr>
        <b/>
        <sz val="11"/>
        <color theme="1"/>
        <rFont val="Calibri"/>
        <charset val="134"/>
      </rPr>
      <t xml:space="preserve"> Inputs / Devices / Scenarios </t>
    </r>
    <r>
      <rPr>
        <b/>
        <sz val="11"/>
        <color theme="1"/>
        <rFont val="宋体"/>
        <charset val="134"/>
      </rPr>
      <t>自动联动）</t>
    </r>
  </si>
  <si>
    <t>Scenario</t>
  </si>
  <si>
    <t>Client/Project</t>
  </si>
  <si>
    <t>Region</t>
  </si>
  <si>
    <t>Date</t>
  </si>
  <si>
    <t>Plant</t>
  </si>
  <si>
    <t>Freq</t>
  </si>
  <si>
    <t>Soiling</t>
  </si>
  <si>
    <t>ElecPrice</t>
  </si>
  <si>
    <t>CapFactor</t>
  </si>
  <si>
    <t>Window</t>
  </si>
  <si>
    <t>Shifts</t>
  </si>
  <si>
    <t>Redundancy</t>
  </si>
  <si>
    <t>Horizon</t>
  </si>
  <si>
    <t>Notes</t>
  </si>
  <si>
    <t>Rooftop</t>
  </si>
  <si>
    <t>Demo Rooftop Case</t>
  </si>
  <si>
    <t>Germany</t>
  </si>
  <si>
    <t>2025-09-10</t>
  </si>
  <si>
    <t>Default rooftop example</t>
  </si>
  <si>
    <t>ACME Solar Munich 10MW</t>
  </si>
  <si>
    <t>Proposal for Munich industrial site</t>
  </si>
  <si>
    <t>Utility</t>
  </si>
  <si>
    <t>NEOM 200MW Desert Plant</t>
  </si>
  <si>
    <t>Saudi Arabia</t>
  </si>
  <si>
    <t>Desert utility case, dry-cleaning</t>
  </si>
  <si>
    <t>Manual↓ / Freq→</t>
  </si>
  <si>
    <t>Freq=4</t>
  </si>
  <si>
    <t>Freq=6</t>
  </si>
  <si>
    <t>Freq=8</t>
  </si>
  <si>
    <t>Freq=10</t>
  </si>
  <si>
    <t>Freq=12</t>
  </si>
  <si>
    <t>Manual=1200</t>
  </si>
  <si>
    <t>Manual=1800</t>
  </si>
  <si>
    <t>Manual=2200</t>
  </si>
  <si>
    <t>Manual=2600</t>
  </si>
  <si>
    <t>Manual=3000</t>
  </si>
  <si>
    <t>Field Name</t>
  </si>
  <si>
    <t>Definition and use(EN)</t>
  </si>
  <si>
    <t>Definition and use(CN)</t>
  </si>
  <si>
    <t>Example</t>
  </si>
  <si>
    <r>
      <rPr>
        <b/>
        <sz val="10"/>
        <color theme="0"/>
        <rFont val="Calibri"/>
        <charset val="134"/>
      </rPr>
      <t xml:space="preserve">1. Inputs - Input area: select scenario, parameters auto-fill, editable. / </t>
    </r>
    <r>
      <rPr>
        <b/>
        <sz val="10"/>
        <color theme="0"/>
        <rFont val="等线"/>
        <charset val="134"/>
      </rPr>
      <t>选择场景并带出参数，可手动修改</t>
    </r>
  </si>
  <si>
    <r>
      <rPr>
        <b/>
        <sz val="10"/>
        <color theme="1"/>
        <rFont val="Calibri"/>
        <charset val="134"/>
      </rPr>
      <t>Scenario selection</t>
    </r>
    <r>
      <rPr>
        <b/>
        <sz val="10"/>
        <color theme="1"/>
        <rFont val="等线"/>
        <charset val="134"/>
      </rPr>
      <t>｜选择场景</t>
    </r>
  </si>
  <si>
    <t>Choose a predefined scenario: Rooftop, C&amp;I, or Utility.</t>
  </si>
  <si>
    <r>
      <rPr>
        <sz val="10"/>
        <color theme="1"/>
        <rFont val="等线"/>
        <charset val="134"/>
      </rPr>
      <t>选择一个预设场景：屋顶分布式、工商业、或大型地面电站。</t>
    </r>
  </si>
  <si>
    <r>
      <rPr>
        <sz val="10"/>
        <color theme="1"/>
        <rFont val="等线"/>
        <charset val="134"/>
      </rPr>
      <t>每个场景对应一组默认参数（规模、频次、人工单价等）。切换场景后，其他输入单元格会自动刷新。</t>
    </r>
  </si>
  <si>
    <r>
      <rPr>
        <b/>
        <sz val="10"/>
        <color theme="1"/>
        <rFont val="Calibri"/>
        <charset val="134"/>
      </rPr>
      <t>Plant size (MW)</t>
    </r>
    <r>
      <rPr>
        <b/>
        <sz val="10"/>
        <color theme="1"/>
        <rFont val="等线"/>
        <charset val="134"/>
      </rPr>
      <t>｜电站规模</t>
    </r>
  </si>
  <si>
    <t>Total installed solar capacity of the plant (in MW).</t>
  </si>
  <si>
    <r>
      <rPr>
        <sz val="10"/>
        <color theme="1"/>
        <rFont val="等线"/>
        <charset val="134"/>
      </rPr>
      <t>电站的总装机容量（兆瓦）。</t>
    </r>
  </si>
  <si>
    <r>
      <rPr>
        <b/>
        <sz val="10"/>
        <color theme="1"/>
        <rFont val="Calibri"/>
        <charset val="134"/>
      </rPr>
      <t>Cleaning frequency (times/year)</t>
    </r>
    <r>
      <rPr>
        <b/>
        <sz val="10"/>
        <color theme="1"/>
        <rFont val="等线"/>
        <charset val="134"/>
      </rPr>
      <t>｜清洗频次</t>
    </r>
  </si>
  <si>
    <t>Number of cleaning cycles required per year.</t>
  </si>
  <si>
    <r>
      <rPr>
        <sz val="10"/>
        <color theme="1"/>
        <rFont val="等线"/>
        <charset val="134"/>
      </rPr>
      <t>每年需要进行的清洗次数。</t>
    </r>
  </si>
  <si>
    <r>
      <rPr>
        <b/>
        <sz val="10"/>
        <color theme="1"/>
        <rFont val="Calibri"/>
        <charset val="134"/>
      </rPr>
      <t>Manual cleaning cost (¥/MW per cleaning)</t>
    </r>
    <r>
      <rPr>
        <b/>
        <sz val="10"/>
        <color theme="1"/>
        <rFont val="等线"/>
        <charset val="134"/>
      </rPr>
      <t>｜人工清洗单价</t>
    </r>
  </si>
  <si>
    <t>Average cost of manual cleaning per MW for each cleaning cycle.</t>
  </si>
  <si>
    <r>
      <rPr>
        <sz val="10"/>
        <color theme="1"/>
        <rFont val="等线"/>
        <charset val="134"/>
      </rPr>
      <t>每兆瓦单次人工清洗的平均费用。</t>
    </r>
  </si>
  <si>
    <r>
      <rPr>
        <b/>
        <sz val="10"/>
        <color theme="1"/>
        <rFont val="Calibri"/>
        <charset val="134"/>
      </rPr>
      <t>Soiling improvement (%)</t>
    </r>
    <r>
      <rPr>
        <b/>
        <sz val="10"/>
        <color theme="1"/>
        <rFont val="等线"/>
        <charset val="134"/>
      </rPr>
      <t>｜污损改善率</t>
    </r>
    <r>
      <rPr>
        <b/>
        <sz val="10"/>
        <color theme="1"/>
        <rFont val="Calibri"/>
        <charset val="134"/>
      </rPr>
      <t>(%)</t>
    </r>
  </si>
  <si>
    <t>Expected efficiency gain (%) after cleaning.</t>
  </si>
  <si>
    <r>
      <rPr>
        <sz val="10"/>
        <color theme="1"/>
        <rFont val="等线"/>
        <charset val="134"/>
      </rPr>
      <t>清洁后预计减少的污损比例（效率提升百分比）。</t>
    </r>
  </si>
  <si>
    <r>
      <rPr>
        <b/>
        <sz val="10"/>
        <color theme="1"/>
        <rFont val="Calibri"/>
        <charset val="134"/>
      </rPr>
      <t>Electricity price (¥/kWh)</t>
    </r>
    <r>
      <rPr>
        <b/>
        <sz val="10"/>
        <color theme="1"/>
        <rFont val="等线"/>
        <charset val="134"/>
      </rPr>
      <t>｜上网电价</t>
    </r>
  </si>
  <si>
    <t>Average feed-in tariff or electricity selling price.</t>
  </si>
  <si>
    <r>
      <rPr>
        <sz val="10"/>
        <color theme="1"/>
        <rFont val="等线"/>
        <charset val="134"/>
      </rPr>
      <t>平均上网电价或售电单价。</t>
    </r>
  </si>
  <si>
    <r>
      <rPr>
        <b/>
        <sz val="10"/>
        <color theme="1"/>
        <rFont val="Calibri"/>
        <charset val="134"/>
      </rPr>
      <t>Capacity factor (%)</t>
    </r>
    <r>
      <rPr>
        <b/>
        <sz val="10"/>
        <color theme="1"/>
        <rFont val="等线"/>
        <charset val="134"/>
      </rPr>
      <t>｜容量系数</t>
    </r>
    <r>
      <rPr>
        <b/>
        <sz val="10"/>
        <color theme="1"/>
        <rFont val="Calibri"/>
        <charset val="134"/>
      </rPr>
      <t>(%)</t>
    </r>
  </si>
  <si>
    <t>Ratio of actual annual generation to maximum possible generation (efficiency of the plant).
A commonly used metric in the power generation industry, capacity factor = actual power generation (kWh) / installed capacity (kW) × 8,760 hours.
Theoretical maximum value: This assumes the power plant operates at full capacity year-round (24 hours x 365 days = 8,760 hours).
Actual value: PV power plants are affected by factors such as sunlight, weather, location, and module efficiency, and it's impossible for them to operate at full capacity all the time.
Annual power generation = installed capacity (MW) × 1,000 × 8,760 × capacity factor.</t>
  </si>
  <si>
    <r>
      <rPr>
        <sz val="10"/>
        <color theme="1"/>
        <rFont val="等线"/>
        <charset val="134"/>
      </rPr>
      <t>电站实际年发电量与理论最大发电量的比率（发电效率）。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等线"/>
        <charset val="134"/>
      </rPr>
      <t>发电行业的常用指标，容量系数</t>
    </r>
    <r>
      <rPr>
        <sz val="10"/>
        <color theme="1"/>
        <rFont val="Calibri"/>
        <charset val="134"/>
      </rPr>
      <t>=</t>
    </r>
    <r>
      <rPr>
        <sz val="10"/>
        <color theme="1"/>
        <rFont val="等线"/>
        <charset val="134"/>
      </rPr>
      <t>实际发电量（</t>
    </r>
    <r>
      <rPr>
        <sz val="10"/>
        <color theme="1"/>
        <rFont val="Calibri"/>
        <charset val="134"/>
      </rPr>
      <t>kWh</t>
    </r>
    <r>
      <rPr>
        <sz val="10"/>
        <color theme="1"/>
        <rFont val="等线"/>
        <charset val="134"/>
      </rPr>
      <t>）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装机容量（</t>
    </r>
    <r>
      <rPr>
        <sz val="10"/>
        <color theme="1"/>
        <rFont val="Calibri"/>
        <charset val="134"/>
      </rPr>
      <t xml:space="preserve">kW)×8760h
</t>
    </r>
    <r>
      <rPr>
        <sz val="10"/>
        <color theme="1"/>
        <rFont val="等线"/>
        <charset val="134"/>
      </rPr>
      <t>理论最大值：假设电站全年满负荷运转（</t>
    </r>
    <r>
      <rPr>
        <sz val="10"/>
        <color theme="1"/>
        <rFont val="Calibri"/>
        <charset val="134"/>
      </rPr>
      <t>24</t>
    </r>
    <r>
      <rPr>
        <sz val="10"/>
        <color theme="1"/>
        <rFont val="等线"/>
        <charset val="134"/>
      </rPr>
      <t>小时</t>
    </r>
    <r>
      <rPr>
        <sz val="10"/>
        <color theme="1"/>
        <rFont val="Calibri"/>
        <charset val="134"/>
      </rPr>
      <t>×365</t>
    </r>
    <r>
      <rPr>
        <sz val="10"/>
        <color theme="1"/>
        <rFont val="等线"/>
        <charset val="134"/>
      </rPr>
      <t>天</t>
    </r>
    <r>
      <rPr>
        <sz val="10"/>
        <color theme="1"/>
        <rFont val="Calibri"/>
        <charset val="134"/>
      </rPr>
      <t xml:space="preserve"> = 8760</t>
    </r>
    <r>
      <rPr>
        <sz val="10"/>
        <color theme="1"/>
        <rFont val="等线"/>
        <charset val="134"/>
      </rPr>
      <t>小时）。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等线"/>
        <charset val="134"/>
      </rPr>
      <t>实际值：光伏电站受日照、天气、地理位置、组件效率等影响，不可能一直满发。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等线"/>
        <charset val="134"/>
      </rPr>
      <t>年发电量：年发电量</t>
    </r>
    <r>
      <rPr>
        <sz val="10"/>
        <color theme="1"/>
        <rFont val="Calibri"/>
        <charset val="134"/>
      </rPr>
      <t>=</t>
    </r>
    <r>
      <rPr>
        <sz val="10"/>
        <color theme="1"/>
        <rFont val="等线"/>
        <charset val="134"/>
      </rPr>
      <t>装机容量</t>
    </r>
    <r>
      <rPr>
        <sz val="10"/>
        <color theme="1"/>
        <rFont val="Calibri"/>
        <charset val="134"/>
      </rPr>
      <t>(MW)×1000×8760×</t>
    </r>
    <r>
      <rPr>
        <sz val="10"/>
        <color theme="1"/>
        <rFont val="等线"/>
        <charset val="134"/>
      </rPr>
      <t>容量系数</t>
    </r>
  </si>
  <si>
    <t xml:space="preserve">
🔹 Typical range:
Europe: 12%–20% (Germany and Poland are typically 15–18%)
Middle East: 20%–25% (high-sunlight regions like Saudi Arabia and Dubai)
North America: 18%–25% (California, Texas, etc.)</t>
  </si>
  <si>
    <r>
      <rPr>
        <b/>
        <sz val="10"/>
        <color theme="1"/>
        <rFont val="Calibri"/>
        <charset val="134"/>
      </rPr>
      <t>Cleaning window per cycle (days)</t>
    </r>
    <r>
      <rPr>
        <b/>
        <sz val="10"/>
        <color theme="1"/>
        <rFont val="等线"/>
        <charset val="134"/>
      </rPr>
      <t>｜每周期施工窗</t>
    </r>
    <r>
      <rPr>
        <b/>
        <sz val="10"/>
        <color theme="1"/>
        <rFont val="Calibri"/>
        <charset val="134"/>
      </rPr>
      <t>(</t>
    </r>
    <r>
      <rPr>
        <b/>
        <sz val="10"/>
        <color theme="1"/>
        <rFont val="等线"/>
        <charset val="134"/>
      </rPr>
      <t>日</t>
    </r>
    <r>
      <rPr>
        <b/>
        <sz val="10"/>
        <color theme="1"/>
        <rFont val="Calibri"/>
        <charset val="134"/>
      </rPr>
      <t>)</t>
    </r>
  </si>
  <si>
    <t>Maximum number of days allowed to complete one full cleaning cycle.</t>
  </si>
  <si>
    <r>
      <rPr>
        <sz val="10"/>
        <color theme="1"/>
        <rFont val="等线"/>
        <charset val="134"/>
      </rPr>
      <t>每轮清扫允许的施工天数。</t>
    </r>
  </si>
  <si>
    <r>
      <rPr>
        <b/>
        <sz val="10"/>
        <color theme="1"/>
        <rFont val="Calibri"/>
        <charset val="134"/>
      </rPr>
      <t>Shifts per day (1=single, 2=day+night)</t>
    </r>
    <r>
      <rPr>
        <b/>
        <sz val="10"/>
        <color theme="1"/>
        <rFont val="等线"/>
        <charset val="134"/>
      </rPr>
      <t>｜班次数</t>
    </r>
  </si>
  <si>
    <t>Number of shifts per day (1 = single shift, 2 = day + night).</t>
  </si>
  <si>
    <r>
      <rPr>
        <sz val="10"/>
        <color theme="1"/>
        <rFont val="等线"/>
        <charset val="134"/>
      </rPr>
      <t>每天的班次数（</t>
    </r>
    <r>
      <rPr>
        <sz val="10"/>
        <color theme="1"/>
        <rFont val="Calibri"/>
        <charset val="134"/>
      </rPr>
      <t>1=</t>
    </r>
    <r>
      <rPr>
        <sz val="10"/>
        <color theme="1"/>
        <rFont val="等线"/>
        <charset val="134"/>
      </rPr>
      <t>单班，</t>
    </r>
    <r>
      <rPr>
        <sz val="10"/>
        <color theme="1"/>
        <rFont val="Calibri"/>
        <charset val="134"/>
      </rPr>
      <t>2=</t>
    </r>
    <r>
      <rPr>
        <sz val="10"/>
        <color theme="1"/>
        <rFont val="等线"/>
        <charset val="134"/>
      </rPr>
      <t>昼夜双班）。</t>
    </r>
  </si>
  <si>
    <r>
      <rPr>
        <b/>
        <sz val="10"/>
        <color theme="1"/>
        <rFont val="Calibri"/>
        <charset val="134"/>
      </rPr>
      <t>Redundancy factor (e.g., 1.1)</t>
    </r>
    <r>
      <rPr>
        <b/>
        <sz val="10"/>
        <color theme="1"/>
        <rFont val="等线"/>
        <charset val="134"/>
      </rPr>
      <t>｜冗余系数</t>
    </r>
  </si>
  <si>
    <t>Additional capacity buffer (e.g., 1.1 = +10%) to ensure reliability.</t>
  </si>
  <si>
    <r>
      <rPr>
        <sz val="10"/>
        <color theme="1"/>
        <rFont val="等线"/>
        <charset val="134"/>
      </rPr>
      <t>为保证可靠性增加的能力冗余（如</t>
    </r>
    <r>
      <rPr>
        <sz val="10"/>
        <color theme="1"/>
        <rFont val="Calibri"/>
        <charset val="134"/>
      </rPr>
      <t xml:space="preserve"> 1.1 </t>
    </r>
    <r>
      <rPr>
        <sz val="10"/>
        <color theme="1"/>
        <rFont val="等线"/>
        <charset val="134"/>
      </rPr>
      <t>表示多配</t>
    </r>
    <r>
      <rPr>
        <sz val="10"/>
        <color theme="1"/>
        <rFont val="Calibri"/>
        <charset val="134"/>
      </rPr>
      <t xml:space="preserve"> 10%</t>
    </r>
    <r>
      <rPr>
        <sz val="10"/>
        <color theme="1"/>
        <rFont val="等线"/>
        <charset val="134"/>
      </rPr>
      <t>）。</t>
    </r>
  </si>
  <si>
    <r>
      <rPr>
        <b/>
        <sz val="10"/>
        <color theme="1"/>
        <rFont val="Calibri"/>
        <charset val="134"/>
      </rPr>
      <t>Analysis horizon (years)</t>
    </r>
    <r>
      <rPr>
        <b/>
        <sz val="10"/>
        <color theme="1"/>
        <rFont val="等线"/>
        <charset val="134"/>
      </rPr>
      <t>｜测算年限</t>
    </r>
  </si>
  <si>
    <t>Duration (years) of financial analysis.</t>
  </si>
  <si>
    <r>
      <rPr>
        <sz val="10"/>
        <color theme="1"/>
        <rFont val="等线"/>
        <charset val="134"/>
      </rPr>
      <t>财务测算期（年）。</t>
    </r>
  </si>
  <si>
    <r>
      <rPr>
        <b/>
        <sz val="10"/>
        <color theme="0"/>
        <rFont val="Calibri"/>
        <charset val="134"/>
      </rPr>
      <t xml:space="preserve">2. Devices - Device settings: unit price, efficiency, lifetime, units. / </t>
    </r>
    <r>
      <rPr>
        <b/>
        <sz val="10"/>
        <color theme="0"/>
        <rFont val="等线"/>
        <charset val="134"/>
      </rPr>
      <t>设备参数：设置不同机器人单价、效率、寿命、数量</t>
    </r>
    <r>
      <rPr>
        <b/>
        <sz val="10"/>
        <color theme="0"/>
        <rFont val="Calibri"/>
        <charset val="134"/>
      </rPr>
      <t>,</t>
    </r>
    <r>
      <rPr>
        <b/>
        <sz val="10"/>
        <color theme="0"/>
        <rFont val="等线"/>
        <charset val="134"/>
      </rPr>
      <t>系统自动计算单周期总清扫能力（含班次</t>
    </r>
    <r>
      <rPr>
        <b/>
        <sz val="10"/>
        <color theme="0"/>
        <rFont val="Calibri"/>
        <charset val="134"/>
      </rPr>
      <t>×</t>
    </r>
    <r>
      <rPr>
        <b/>
        <sz val="10"/>
        <color theme="0"/>
        <rFont val="等线"/>
        <charset val="134"/>
      </rPr>
      <t>施工窗</t>
    </r>
    <r>
      <rPr>
        <b/>
        <sz val="10"/>
        <color theme="0"/>
        <rFont val="Calibri"/>
        <charset val="134"/>
      </rPr>
      <t>×</t>
    </r>
    <r>
      <rPr>
        <b/>
        <sz val="10"/>
        <color theme="0"/>
        <rFont val="等线"/>
        <charset val="134"/>
      </rPr>
      <t>冗余）</t>
    </r>
    <r>
      <rPr>
        <b/>
        <sz val="10"/>
        <color theme="0"/>
        <rFont val="Calibri"/>
        <charset val="134"/>
      </rPr>
      <t>,</t>
    </r>
    <r>
      <rPr>
        <b/>
        <sz val="10"/>
        <color theme="0"/>
        <rFont val="等线"/>
        <charset val="134"/>
      </rPr>
      <t>判断是否满足项目规模（</t>
    </r>
    <r>
      <rPr>
        <b/>
        <sz val="10"/>
        <color theme="0"/>
        <rFont val="Calibri"/>
        <charset val="134"/>
      </rPr>
      <t>Adequacy ≥ Plant×</t>
    </r>
    <r>
      <rPr>
        <b/>
        <sz val="10"/>
        <color theme="0"/>
        <rFont val="等线"/>
        <charset val="134"/>
      </rPr>
      <t>冗余）</t>
    </r>
  </si>
  <si>
    <r>
      <rPr>
        <b/>
        <sz val="10"/>
        <color theme="1"/>
        <rFont val="Calibri"/>
        <charset val="134"/>
      </rPr>
      <t>Enable</t>
    </r>
    <r>
      <rPr>
        <b/>
        <sz val="10"/>
        <color theme="1"/>
        <rFont val="等线"/>
        <charset val="134"/>
      </rPr>
      <t>｜启用</t>
    </r>
  </si>
  <si>
    <t>1 = include this device in calculation; 0 = ignore.</t>
  </si>
  <si>
    <r>
      <rPr>
        <sz val="10"/>
        <color theme="1"/>
        <rFont val="Calibri"/>
        <charset val="134"/>
      </rPr>
      <t>1=</t>
    </r>
    <r>
      <rPr>
        <sz val="10"/>
        <color theme="1"/>
        <rFont val="等线"/>
        <charset val="134"/>
      </rPr>
      <t>启用设备计算；</t>
    </r>
    <r>
      <rPr>
        <sz val="10"/>
        <color theme="1"/>
        <rFont val="Calibri"/>
        <charset val="134"/>
      </rPr>
      <t>0=</t>
    </r>
    <r>
      <rPr>
        <sz val="10"/>
        <color theme="1"/>
        <rFont val="等线"/>
        <charset val="134"/>
      </rPr>
      <t>忽略该设备。</t>
    </r>
  </si>
  <si>
    <r>
      <rPr>
        <b/>
        <sz val="10"/>
        <color theme="1"/>
        <rFont val="Calibri"/>
        <charset val="134"/>
      </rPr>
      <t>Device</t>
    </r>
    <r>
      <rPr>
        <b/>
        <sz val="10"/>
        <color theme="1"/>
        <rFont val="等线"/>
        <charset val="134"/>
      </rPr>
      <t>｜设备名称</t>
    </r>
  </si>
  <si>
    <t>Type of cleaning device (e.g., Tracked Robot, Bridge/Rail).</t>
  </si>
  <si>
    <r>
      <rPr>
        <sz val="10"/>
        <color theme="1"/>
        <rFont val="等线"/>
        <charset val="134"/>
      </rPr>
      <t>清洁设备类型（如履带式、桥式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轨道）。</t>
    </r>
  </si>
  <si>
    <r>
      <rPr>
        <b/>
        <sz val="10"/>
        <color theme="1"/>
        <rFont val="Calibri"/>
        <charset val="134"/>
      </rPr>
      <t>Method</t>
    </r>
    <r>
      <rPr>
        <b/>
        <sz val="10"/>
        <color theme="1"/>
        <rFont val="等线"/>
        <charset val="134"/>
      </rPr>
      <t>｜清洁方式</t>
    </r>
  </si>
  <si>
    <t>Cleaning method (Dry, Wet, or both).</t>
  </si>
  <si>
    <r>
      <rPr>
        <sz val="10"/>
        <color theme="1"/>
        <rFont val="等线"/>
        <charset val="134"/>
      </rPr>
      <t>清洁方式（干洗、湿洗或两用）。</t>
    </r>
  </si>
  <si>
    <r>
      <rPr>
        <b/>
        <sz val="10"/>
        <color theme="1"/>
        <rFont val="Calibri"/>
        <charset val="134"/>
      </rPr>
      <t>Unit price (¥)</t>
    </r>
    <r>
      <rPr>
        <b/>
        <sz val="10"/>
        <color theme="1"/>
        <rFont val="等线"/>
        <charset val="134"/>
      </rPr>
      <t>｜单价</t>
    </r>
  </si>
  <si>
    <t>Robot Purchase price per unit (CAPEX).</t>
  </si>
  <si>
    <r>
      <rPr>
        <sz val="10"/>
        <color theme="1"/>
        <rFont val="等线"/>
        <charset val="134"/>
      </rPr>
      <t>单台设备采购价格（资本支出）。</t>
    </r>
  </si>
  <si>
    <r>
      <rPr>
        <b/>
        <sz val="10"/>
        <color theme="1"/>
        <rFont val="Calibri"/>
        <charset val="134"/>
      </rPr>
      <t>Capacity (MW/day)</t>
    </r>
    <r>
      <rPr>
        <b/>
        <sz val="10"/>
        <color theme="1"/>
        <rFont val="等线"/>
        <charset val="134"/>
      </rPr>
      <t>｜效率</t>
    </r>
  </si>
  <si>
    <t>Cleaning capacity per day (in MW), this value is different in different scenarios.</t>
  </si>
  <si>
    <r>
      <rPr>
        <sz val="10"/>
        <color theme="1"/>
        <rFont val="等线"/>
        <charset val="134"/>
      </rPr>
      <t>每天可清扫的光伏容量（兆瓦），不同场景设备的清洁能力不同。</t>
    </r>
  </si>
  <si>
    <r>
      <rPr>
        <b/>
        <sz val="10"/>
        <color theme="1"/>
        <rFont val="Calibri"/>
        <charset val="134"/>
      </rPr>
      <t>Consumable (¥/change)</t>
    </r>
    <r>
      <rPr>
        <b/>
        <sz val="10"/>
        <color theme="1"/>
        <rFont val="等线"/>
        <charset val="134"/>
      </rPr>
      <t>｜耗材单价</t>
    </r>
  </si>
  <si>
    <t>Cost of consumables for one replacement cycle.</t>
  </si>
  <si>
    <r>
      <rPr>
        <sz val="10"/>
        <color theme="1"/>
        <rFont val="等线"/>
        <charset val="134"/>
      </rPr>
      <t>单次耗材更换的费用。</t>
    </r>
  </si>
  <si>
    <r>
      <rPr>
        <b/>
        <sz val="10"/>
        <color theme="1"/>
        <rFont val="Calibri"/>
        <charset val="134"/>
      </rPr>
      <t>Interval (months)</t>
    </r>
    <r>
      <rPr>
        <b/>
        <sz val="10"/>
        <color theme="1"/>
        <rFont val="等线"/>
        <charset val="134"/>
      </rPr>
      <t>｜更换周期</t>
    </r>
    <r>
      <rPr>
        <b/>
        <sz val="10"/>
        <color theme="1"/>
        <rFont val="Calibri"/>
        <charset val="134"/>
      </rPr>
      <t>(</t>
    </r>
    <r>
      <rPr>
        <b/>
        <sz val="10"/>
        <color theme="1"/>
        <rFont val="等线"/>
        <charset val="134"/>
      </rPr>
      <t>月</t>
    </r>
    <r>
      <rPr>
        <b/>
        <sz val="10"/>
        <color theme="1"/>
        <rFont val="Calibri"/>
        <charset val="134"/>
      </rPr>
      <t>)</t>
    </r>
  </si>
  <si>
    <t>Consumable replacement interval in months.</t>
  </si>
  <si>
    <r>
      <rPr>
        <sz val="10"/>
        <color theme="1"/>
        <rFont val="等线"/>
        <charset val="134"/>
      </rPr>
      <t>耗材更换周期（月）。</t>
    </r>
  </si>
  <si>
    <r>
      <rPr>
        <b/>
        <sz val="10"/>
        <color theme="1"/>
        <rFont val="Calibri"/>
        <charset val="134"/>
      </rPr>
      <t>Warranty (¥/year)</t>
    </r>
    <r>
      <rPr>
        <b/>
        <sz val="10"/>
        <color theme="1"/>
        <rFont val="等线"/>
        <charset val="134"/>
      </rPr>
      <t>｜延保</t>
    </r>
    <r>
      <rPr>
        <b/>
        <sz val="10"/>
        <color theme="1"/>
        <rFont val="Calibri"/>
        <charset val="134"/>
      </rPr>
      <t>/</t>
    </r>
    <r>
      <rPr>
        <b/>
        <sz val="10"/>
        <color theme="1"/>
        <rFont val="等线"/>
        <charset val="134"/>
      </rPr>
      <t>年</t>
    </r>
  </si>
  <si>
    <t>Extended warranty cost per year.</t>
  </si>
  <si>
    <r>
      <rPr>
        <sz val="10"/>
        <color theme="1"/>
        <rFont val="等线"/>
        <charset val="134"/>
      </rPr>
      <t>每年的延保费用。</t>
    </r>
  </si>
  <si>
    <r>
      <rPr>
        <b/>
        <sz val="10"/>
        <color theme="1"/>
        <rFont val="Calibri"/>
        <charset val="134"/>
      </rPr>
      <t>Lifetime (years)</t>
    </r>
    <r>
      <rPr>
        <b/>
        <sz val="10"/>
        <color theme="1"/>
        <rFont val="等线"/>
        <charset val="134"/>
      </rPr>
      <t>｜寿命</t>
    </r>
    <r>
      <rPr>
        <b/>
        <sz val="10"/>
        <color theme="1"/>
        <rFont val="Calibri"/>
        <charset val="134"/>
      </rPr>
      <t>(</t>
    </r>
    <r>
      <rPr>
        <b/>
        <sz val="10"/>
        <color theme="1"/>
        <rFont val="等线"/>
        <charset val="134"/>
      </rPr>
      <t>年</t>
    </r>
    <r>
      <rPr>
        <b/>
        <sz val="10"/>
        <color theme="1"/>
        <rFont val="Calibri"/>
        <charset val="134"/>
      </rPr>
      <t>)</t>
    </r>
  </si>
  <si>
    <t>Expected service life of the device.</t>
  </si>
  <si>
    <r>
      <rPr>
        <sz val="10"/>
        <color theme="1"/>
        <rFont val="等线"/>
        <charset val="134"/>
      </rPr>
      <t>设备的使用寿命（年）。</t>
    </r>
  </si>
  <si>
    <r>
      <rPr>
        <b/>
        <sz val="10"/>
        <color theme="1"/>
        <rFont val="Calibri"/>
        <charset val="134"/>
      </rPr>
      <t>Units</t>
    </r>
    <r>
      <rPr>
        <b/>
        <sz val="10"/>
        <color theme="1"/>
        <rFont val="等线"/>
        <charset val="134"/>
      </rPr>
      <t>｜采购数量</t>
    </r>
  </si>
  <si>
    <t>Number of units purchased.</t>
  </si>
  <si>
    <r>
      <rPr>
        <sz val="10"/>
        <color theme="1"/>
        <rFont val="等线"/>
        <charset val="134"/>
      </rPr>
      <t>采购台数。</t>
    </r>
  </si>
  <si>
    <r>
      <rPr>
        <b/>
        <sz val="10"/>
        <color theme="0"/>
        <rFont val="Calibri"/>
        <charset val="134"/>
      </rPr>
      <t xml:space="preserve">3. Summary - Summary results: annual costs, savings, payback year, ROI. / </t>
    </r>
    <r>
      <rPr>
        <b/>
        <sz val="10"/>
        <color theme="0"/>
        <rFont val="等线"/>
        <charset val="134"/>
      </rPr>
      <t>汇总结果：年度成本、节省、回本年、</t>
    </r>
    <r>
      <rPr>
        <b/>
        <sz val="10"/>
        <color theme="0"/>
        <rFont val="Calibri"/>
        <charset val="134"/>
      </rPr>
      <t>ROI</t>
    </r>
  </si>
  <si>
    <r>
      <rPr>
        <b/>
        <sz val="10"/>
        <color theme="1"/>
        <rFont val="Calibri"/>
        <charset val="134"/>
      </rPr>
      <t>Total capacity per cycle (MW)</t>
    </r>
    <r>
      <rPr>
        <b/>
        <sz val="10"/>
        <color theme="1"/>
        <rFont val="等线"/>
        <charset val="134"/>
      </rPr>
      <t>｜单周期总清扫能力</t>
    </r>
  </si>
  <si>
    <t>EN: The maximum solar capacity (MW) that all selected devices can clean in one cleaning cycle (Cleaning window × Shifts).</t>
  </si>
  <si>
    <r>
      <rPr>
        <sz val="10"/>
        <color theme="1"/>
        <rFont val="Calibri"/>
        <charset val="134"/>
      </rPr>
      <t xml:space="preserve">CN: </t>
    </r>
    <r>
      <rPr>
        <sz val="10"/>
        <color theme="1"/>
        <rFont val="等线"/>
        <charset val="134"/>
      </rPr>
      <t>所有选用设备在一个清洁周期内（施工窗口天数</t>
    </r>
    <r>
      <rPr>
        <sz val="10"/>
        <color theme="1"/>
        <rFont val="Calibri"/>
        <charset val="134"/>
      </rPr>
      <t xml:space="preserve"> × </t>
    </r>
    <r>
      <rPr>
        <sz val="10"/>
        <color theme="1"/>
        <rFont val="等线"/>
        <charset val="134"/>
      </rPr>
      <t>班次数）能够覆盖的光伏容量（兆瓦数）。</t>
    </r>
  </si>
  <si>
    <r>
      <rPr>
        <b/>
        <sz val="10"/>
        <color theme="1"/>
        <rFont val="Calibri"/>
        <charset val="134"/>
      </rPr>
      <t>Adequacy (&gt;= Plant?)</t>
    </r>
    <r>
      <rPr>
        <b/>
        <sz val="10"/>
        <color theme="1"/>
        <rFont val="等线"/>
        <charset val="134"/>
      </rPr>
      <t>｜能力覆盖是否达标</t>
    </r>
  </si>
  <si>
    <t>EN: Whether the cleaning capacity per cycle is sufficient to cover the total plant size (including redundancy factor).</t>
  </si>
  <si>
    <r>
      <rPr>
        <sz val="10"/>
        <color theme="1"/>
        <rFont val="Calibri"/>
        <charset val="134"/>
      </rPr>
      <t xml:space="preserve">CN: </t>
    </r>
    <r>
      <rPr>
        <sz val="10"/>
        <color theme="1"/>
        <rFont val="等线"/>
        <charset val="134"/>
      </rPr>
      <t>单周期清扫能力是否能满足电站总规模（含冗余系数）的需求。</t>
    </r>
  </si>
  <si>
    <r>
      <rPr>
        <b/>
        <sz val="10"/>
        <color theme="1"/>
        <rFont val="Calibri"/>
        <charset val="134"/>
      </rPr>
      <t>Annual manual cost (¥)</t>
    </r>
    <r>
      <rPr>
        <b/>
        <sz val="10"/>
        <color theme="1"/>
        <rFont val="等线"/>
        <charset val="134"/>
      </rPr>
      <t>｜年度人工成本</t>
    </r>
  </si>
  <si>
    <t>EN: Estimated annual cost if cleaning is done entirely by manual labor (Plant size × Frequency × Manual cost per MW).</t>
  </si>
  <si>
    <r>
      <rPr>
        <sz val="10"/>
        <color theme="1"/>
        <rFont val="Calibri"/>
        <charset val="134"/>
      </rPr>
      <t xml:space="preserve">CN: </t>
    </r>
    <r>
      <rPr>
        <sz val="10"/>
        <color theme="1"/>
        <rFont val="等线"/>
        <charset val="134"/>
      </rPr>
      <t>如果全部采用人工清洗方式，预计的年度费用（电站规模</t>
    </r>
    <r>
      <rPr>
        <sz val="10"/>
        <color theme="1"/>
        <rFont val="Calibri"/>
        <charset val="134"/>
      </rPr>
      <t xml:space="preserve"> × </t>
    </r>
    <r>
      <rPr>
        <sz val="10"/>
        <color theme="1"/>
        <rFont val="等线"/>
        <charset val="134"/>
      </rPr>
      <t>清洗频次</t>
    </r>
    <r>
      <rPr>
        <sz val="10"/>
        <color theme="1"/>
        <rFont val="Calibri"/>
        <charset val="134"/>
      </rPr>
      <t xml:space="preserve"> × </t>
    </r>
    <r>
      <rPr>
        <sz val="10"/>
        <color theme="1"/>
        <rFont val="等线"/>
        <charset val="134"/>
      </rPr>
      <t>每兆瓦人工成本）。</t>
    </r>
  </si>
  <si>
    <r>
      <rPr>
        <b/>
        <sz val="10"/>
        <color theme="1"/>
        <rFont val="Calibri"/>
        <charset val="134"/>
      </rPr>
      <t>Annual robot cost (¥)</t>
    </r>
    <r>
      <rPr>
        <b/>
        <sz val="10"/>
        <color theme="1"/>
        <rFont val="等线"/>
        <charset val="134"/>
      </rPr>
      <t>｜年度机器人成本</t>
    </r>
  </si>
  <si>
    <t>EN: The total annualized cost of robots, including depreciation (Unit price ÷ Lifetime), consumables, and extended warranty.</t>
  </si>
  <si>
    <r>
      <rPr>
        <sz val="10"/>
        <color theme="1"/>
        <rFont val="Calibri"/>
        <charset val="134"/>
      </rPr>
      <t xml:space="preserve">CN: </t>
    </r>
    <r>
      <rPr>
        <sz val="10"/>
        <color theme="1"/>
        <rFont val="等线"/>
        <charset val="134"/>
      </rPr>
      <t>机器人设备的年度化总成本，包括折旧（单价</t>
    </r>
    <r>
      <rPr>
        <sz val="10"/>
        <color theme="1"/>
        <rFont val="Calibri"/>
        <charset val="134"/>
      </rPr>
      <t xml:space="preserve"> ÷ </t>
    </r>
    <r>
      <rPr>
        <sz val="10"/>
        <color theme="1"/>
        <rFont val="等线"/>
        <charset val="134"/>
      </rPr>
      <t>寿命）、耗材更换费用、以及延保费用。</t>
    </r>
  </si>
  <si>
    <r>
      <rPr>
        <b/>
        <sz val="10"/>
        <color theme="1"/>
        <rFont val="Calibri"/>
        <charset val="134"/>
      </rPr>
      <t>Annual savings (¥)</t>
    </r>
    <r>
      <rPr>
        <b/>
        <sz val="10"/>
        <color theme="1"/>
        <rFont val="等线"/>
        <charset val="134"/>
      </rPr>
      <t>｜年度节省</t>
    </r>
  </si>
  <si>
    <t>EN: Difference between manual cleaning cost and robot cleaning cost (Manual – Robot).</t>
  </si>
  <si>
    <r>
      <rPr>
        <sz val="10"/>
        <color theme="1"/>
        <rFont val="Calibri"/>
        <charset val="134"/>
      </rPr>
      <t xml:space="preserve">CN: </t>
    </r>
    <r>
      <rPr>
        <sz val="10"/>
        <color theme="1"/>
        <rFont val="等线"/>
        <charset val="134"/>
      </rPr>
      <t>与人工清洗相比，使用机器人每年可节省的费用（人工成本</t>
    </r>
    <r>
      <rPr>
        <sz val="10"/>
        <color theme="1"/>
        <rFont val="Calibri"/>
        <charset val="134"/>
      </rPr>
      <t xml:space="preserve"> – </t>
    </r>
    <r>
      <rPr>
        <sz val="10"/>
        <color theme="1"/>
        <rFont val="等线"/>
        <charset val="134"/>
      </rPr>
      <t>机器人成本）。</t>
    </r>
  </si>
  <si>
    <r>
      <rPr>
        <b/>
        <sz val="10"/>
        <color theme="1"/>
        <rFont val="Calibri"/>
        <charset val="134"/>
      </rPr>
      <t>CAPEX
Upfront CAPEX (¥)</t>
    </r>
    <r>
      <rPr>
        <b/>
        <sz val="10"/>
        <color theme="1"/>
        <rFont val="等线"/>
        <charset val="134"/>
      </rPr>
      <t>｜前期投入</t>
    </r>
  </si>
  <si>
    <t>EN: Initial capital expenditure for purchasing all robots (Unit price × Units).</t>
  </si>
  <si>
    <r>
      <rPr>
        <sz val="10"/>
        <color theme="1"/>
        <rFont val="Calibri"/>
        <charset val="134"/>
      </rPr>
      <t xml:space="preserve">CN: </t>
    </r>
    <r>
      <rPr>
        <sz val="10"/>
        <color theme="1"/>
        <rFont val="等线"/>
        <charset val="134"/>
      </rPr>
      <t>一次性采购机器人所需的前期资本支出（单价</t>
    </r>
    <r>
      <rPr>
        <sz val="10"/>
        <color theme="1"/>
        <rFont val="Calibri"/>
        <charset val="134"/>
      </rPr>
      <t xml:space="preserve"> × </t>
    </r>
    <r>
      <rPr>
        <sz val="10"/>
        <color theme="1"/>
        <rFont val="等线"/>
        <charset val="134"/>
      </rPr>
      <t>数量）。</t>
    </r>
  </si>
  <si>
    <r>
      <rPr>
        <sz val="10"/>
        <color theme="1"/>
        <rFont val="等线"/>
        <charset val="134"/>
      </rPr>
      <t>在你的模型里：</t>
    </r>
    <r>
      <rPr>
        <sz val="10"/>
        <color theme="1"/>
        <rFont val="Calibri"/>
        <charset val="134"/>
      </rPr>
      <t>CAPEX=∑(</t>
    </r>
    <r>
      <rPr>
        <sz val="10"/>
        <color theme="1"/>
        <rFont val="等线"/>
        <charset val="134"/>
      </rPr>
      <t>每种设备单价</t>
    </r>
    <r>
      <rPr>
        <sz val="10"/>
        <color theme="1"/>
        <rFont val="Calibri"/>
        <charset val="134"/>
      </rPr>
      <t>×</t>
    </r>
    <r>
      <rPr>
        <sz val="10"/>
        <color theme="1"/>
        <rFont val="等线"/>
        <charset val="134"/>
      </rPr>
      <t>采购数量</t>
    </r>
    <r>
      <rPr>
        <sz val="10"/>
        <color theme="1"/>
        <rFont val="Calibri"/>
        <charset val="134"/>
      </rPr>
      <t>)
CAPEX=∑(</t>
    </r>
    <r>
      <rPr>
        <sz val="10"/>
        <color theme="1"/>
        <rFont val="等线"/>
        <charset val="134"/>
      </rPr>
      <t>每种设备单价</t>
    </r>
    <r>
      <rPr>
        <sz val="10"/>
        <color theme="1"/>
        <rFont val="Calibri"/>
        <charset val="134"/>
      </rPr>
      <t>×</t>
    </r>
    <r>
      <rPr>
        <sz val="10"/>
        <color theme="1"/>
        <rFont val="等线"/>
        <charset val="134"/>
      </rPr>
      <t>采购数量</t>
    </r>
    <r>
      <rPr>
        <sz val="10"/>
        <color theme="1"/>
        <rFont val="Calibri"/>
        <charset val="134"/>
      </rPr>
      <t xml:space="preserve">)
</t>
    </r>
    <r>
      <rPr>
        <sz val="10"/>
        <color theme="1"/>
        <rFont val="等线"/>
        <charset val="134"/>
      </rPr>
      <t>不含日常运维（耗材、延保），这些算在</t>
    </r>
    <r>
      <rPr>
        <sz val="10"/>
        <color theme="1"/>
        <rFont val="Calibri"/>
        <charset val="134"/>
      </rPr>
      <t xml:space="preserve"> OPEX</t>
    </r>
    <r>
      <rPr>
        <sz val="10"/>
        <color theme="1"/>
        <rFont val="等线"/>
        <charset val="134"/>
      </rPr>
      <t>（运营支出）。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等线"/>
        <charset val="134"/>
      </rPr>
      <t>在财务模型里，</t>
    </r>
    <r>
      <rPr>
        <sz val="10"/>
        <color theme="1"/>
        <rFont val="Calibri"/>
        <charset val="134"/>
      </rPr>
      <t xml:space="preserve">CAPEX </t>
    </r>
    <r>
      <rPr>
        <sz val="10"/>
        <color theme="1"/>
        <rFont val="等线"/>
        <charset val="134"/>
      </rPr>
      <t>会摊销到寿命期（通过折旧或年化成本），但在</t>
    </r>
    <r>
      <rPr>
        <sz val="10"/>
        <color theme="1"/>
        <rFont val="Calibri"/>
        <charset val="134"/>
      </rPr>
      <t xml:space="preserve"> </t>
    </r>
    <r>
      <rPr>
        <sz val="10"/>
        <color theme="1"/>
        <rFont val="等线"/>
        <charset val="134"/>
      </rPr>
      <t>回本期计算里，通常作为一次性大额投入和累计节省对比。</t>
    </r>
  </si>
  <si>
    <r>
      <rPr>
        <b/>
        <sz val="10"/>
        <color theme="1"/>
        <rFont val="Calibri"/>
        <charset val="134"/>
      </rPr>
      <t>Payback year</t>
    </r>
    <r>
      <rPr>
        <b/>
        <sz val="10"/>
        <color theme="1"/>
        <rFont val="等线"/>
        <charset val="134"/>
      </rPr>
      <t>｜回本年</t>
    </r>
  </si>
  <si>
    <t>EN: The first year when cumulative savings exceed initial CAPEX, i.e., when investment is recovered.</t>
  </si>
  <si>
    <r>
      <rPr>
        <sz val="10"/>
        <color theme="1"/>
        <rFont val="Calibri"/>
        <charset val="134"/>
      </rPr>
      <t xml:space="preserve">CN: </t>
    </r>
    <r>
      <rPr>
        <sz val="10"/>
        <color theme="1"/>
        <rFont val="等线"/>
        <charset val="134"/>
      </rPr>
      <t>累计节省金额首次超过前期投入的年份，即投资回收期。</t>
    </r>
  </si>
  <si>
    <r>
      <rPr>
        <b/>
        <sz val="10"/>
        <color theme="1"/>
        <rFont val="Calibri"/>
        <charset val="134"/>
      </rPr>
      <t>ROI over horizon</t>
    </r>
    <r>
      <rPr>
        <b/>
        <sz val="10"/>
        <color theme="1"/>
        <rFont val="等线"/>
        <charset val="134"/>
      </rPr>
      <t>｜投资回报率</t>
    </r>
    <r>
      <rPr>
        <b/>
        <sz val="10"/>
        <color theme="1"/>
        <rFont val="Calibri"/>
        <charset val="134"/>
      </rPr>
      <t>(</t>
    </r>
    <r>
      <rPr>
        <b/>
        <sz val="10"/>
        <color theme="1"/>
        <rFont val="等线"/>
        <charset val="134"/>
      </rPr>
      <t>测算期</t>
    </r>
    <r>
      <rPr>
        <b/>
        <sz val="10"/>
        <color theme="1"/>
        <rFont val="Calibri"/>
        <charset val="134"/>
      </rPr>
      <t>)</t>
    </r>
  </si>
  <si>
    <t>EN: Return on Investment (ROI) over the analysis horizon: (Cumulative savings – CAPEX) ÷ CAPEX.</t>
  </si>
  <si>
    <r>
      <rPr>
        <sz val="10"/>
        <color theme="1"/>
        <rFont val="Calibri"/>
        <charset val="134"/>
      </rPr>
      <t xml:space="preserve">CN: </t>
    </r>
    <r>
      <rPr>
        <sz val="10"/>
        <color theme="1"/>
        <rFont val="等线"/>
        <charset val="134"/>
      </rPr>
      <t>在测算期内的投资回报率：</t>
    </r>
    <r>
      <rPr>
        <sz val="10"/>
        <color theme="1"/>
        <rFont val="Calibri"/>
        <charset val="134"/>
      </rPr>
      <t xml:space="preserve"> (</t>
    </r>
    <r>
      <rPr>
        <sz val="10"/>
        <color theme="1"/>
        <rFont val="等线"/>
        <charset val="134"/>
      </rPr>
      <t>累计节省</t>
    </r>
    <r>
      <rPr>
        <sz val="10"/>
        <color theme="1"/>
        <rFont val="Calibri"/>
        <charset val="134"/>
      </rPr>
      <t xml:space="preserve"> – </t>
    </r>
    <r>
      <rPr>
        <sz val="10"/>
        <color theme="1"/>
        <rFont val="等线"/>
        <charset val="134"/>
      </rPr>
      <t>前期投入</t>
    </r>
    <r>
      <rPr>
        <sz val="10"/>
        <color theme="1"/>
        <rFont val="Calibri"/>
        <charset val="134"/>
      </rPr>
      <t xml:space="preserve">) ÷ </t>
    </r>
    <r>
      <rPr>
        <sz val="10"/>
        <color theme="1"/>
        <rFont val="等线"/>
        <charset val="134"/>
      </rPr>
      <t>前期投入。</t>
    </r>
  </si>
  <si>
    <r>
      <rPr>
        <b/>
        <sz val="10"/>
        <color theme="1"/>
        <rFont val="Calibri"/>
        <charset val="134"/>
      </rPr>
      <t>Annual generation (kWh)</t>
    </r>
    <r>
      <rPr>
        <b/>
        <sz val="10"/>
        <color theme="1"/>
        <rFont val="等线"/>
        <charset val="134"/>
      </rPr>
      <t>｜年发电量</t>
    </r>
    <r>
      <rPr>
        <b/>
        <sz val="10"/>
        <color theme="1"/>
        <rFont val="Calibri"/>
        <charset val="134"/>
      </rPr>
      <t>(</t>
    </r>
    <r>
      <rPr>
        <b/>
        <sz val="10"/>
        <color theme="1"/>
        <rFont val="等线"/>
        <charset val="134"/>
      </rPr>
      <t>估算</t>
    </r>
    <r>
      <rPr>
        <b/>
        <sz val="10"/>
        <color theme="1"/>
        <rFont val="Calibri"/>
        <charset val="134"/>
      </rPr>
      <t>)</t>
    </r>
  </si>
  <si>
    <t>EN: Estimated yearly electricity generation based on plant size and capacity factor.</t>
  </si>
  <si>
    <r>
      <rPr>
        <sz val="10"/>
        <color theme="1"/>
        <rFont val="Calibri"/>
        <charset val="134"/>
      </rPr>
      <t xml:space="preserve">CN: </t>
    </r>
    <r>
      <rPr>
        <sz val="10"/>
        <color theme="1"/>
        <rFont val="等线"/>
        <charset val="134"/>
      </rPr>
      <t>根据电站规模和容量系数估算出的年发电量。</t>
    </r>
  </si>
  <si>
    <r>
      <rPr>
        <b/>
        <sz val="10"/>
        <color theme="1"/>
        <rFont val="Calibri"/>
        <charset val="134"/>
      </rPr>
      <t>Extra revenue from reduced soiling (¥/yr)</t>
    </r>
    <r>
      <rPr>
        <b/>
        <sz val="10"/>
        <color theme="1"/>
        <rFont val="等线"/>
        <charset val="134"/>
      </rPr>
      <t>｜因污损减少的增收</t>
    </r>
    <r>
      <rPr>
        <b/>
        <sz val="10"/>
        <color theme="1"/>
        <rFont val="Calibri"/>
        <charset val="134"/>
      </rPr>
      <t>/</t>
    </r>
    <r>
      <rPr>
        <b/>
        <sz val="10"/>
        <color theme="1"/>
        <rFont val="等线"/>
        <charset val="134"/>
      </rPr>
      <t>年</t>
    </r>
  </si>
  <si>
    <t>EN: Additional revenue gained by reducing soiling losses, calculated as Annual generation × Electricity price × Soiling improvement %.</t>
  </si>
  <si>
    <r>
      <rPr>
        <sz val="10"/>
        <color theme="1"/>
        <rFont val="Calibri"/>
        <charset val="134"/>
      </rPr>
      <t xml:space="preserve">CN: </t>
    </r>
    <r>
      <rPr>
        <sz val="10"/>
        <color theme="1"/>
        <rFont val="等线"/>
        <charset val="134"/>
      </rPr>
      <t>通过减少面板污损带来的额外发电收益，计算公式：年发电量</t>
    </r>
    <r>
      <rPr>
        <sz val="10"/>
        <color theme="1"/>
        <rFont val="Calibri"/>
        <charset val="134"/>
      </rPr>
      <t xml:space="preserve"> × </t>
    </r>
    <r>
      <rPr>
        <sz val="10"/>
        <color theme="1"/>
        <rFont val="等线"/>
        <charset val="134"/>
      </rPr>
      <t>电价</t>
    </r>
    <r>
      <rPr>
        <sz val="10"/>
        <color theme="1"/>
        <rFont val="Calibri"/>
        <charset val="134"/>
      </rPr>
      <t xml:space="preserve"> × </t>
    </r>
    <r>
      <rPr>
        <sz val="10"/>
        <color theme="1"/>
        <rFont val="等线"/>
        <charset val="134"/>
      </rPr>
      <t>污损改善率</t>
    </r>
    <r>
      <rPr>
        <sz val="10"/>
        <color theme="1"/>
        <rFont val="Calibri"/>
        <charset val="134"/>
      </rPr>
      <t>%</t>
    </r>
    <r>
      <rPr>
        <sz val="10"/>
        <color theme="1"/>
        <rFont val="等线"/>
        <charset val="134"/>
      </rPr>
      <t>。</t>
    </r>
  </si>
  <si>
    <r>
      <rPr>
        <b/>
        <sz val="10"/>
        <color theme="0"/>
        <rFont val="Calibri"/>
        <charset val="134"/>
      </rPr>
      <t xml:space="preserve">4. Yearly - Yearly cash flow: yearly savings, cumulative savings, payback. / </t>
    </r>
    <r>
      <rPr>
        <b/>
        <sz val="10"/>
        <color theme="0"/>
        <rFont val="等线"/>
        <charset val="134"/>
      </rPr>
      <t>年度现金流：逐年节省、累计节省、回本点</t>
    </r>
  </si>
  <si>
    <r>
      <rPr>
        <b/>
        <sz val="10"/>
        <color theme="1"/>
        <rFont val="Calibri"/>
        <charset val="134"/>
      </rPr>
      <t>Year</t>
    </r>
    <r>
      <rPr>
        <b/>
        <sz val="10"/>
        <color theme="1"/>
        <rFont val="等线"/>
        <charset val="134"/>
      </rPr>
      <t>｜年</t>
    </r>
  </si>
  <si>
    <t>Sequential year of the analysis period.</t>
  </si>
  <si>
    <r>
      <rPr>
        <sz val="10"/>
        <color theme="1"/>
        <rFont val="等线"/>
        <charset val="134"/>
      </rPr>
      <t>分析期的年份序号。</t>
    </r>
  </si>
  <si>
    <r>
      <rPr>
        <b/>
        <sz val="10"/>
        <color theme="1"/>
        <rFont val="Calibri"/>
        <charset val="134"/>
      </rPr>
      <t>Manual cost (¥)</t>
    </r>
    <r>
      <rPr>
        <b/>
        <sz val="10"/>
        <color theme="1"/>
        <rFont val="等线"/>
        <charset val="134"/>
      </rPr>
      <t>｜人工成本</t>
    </r>
  </si>
  <si>
    <t>Annual manual cleaning cost (constant each year).</t>
  </si>
  <si>
    <r>
      <rPr>
        <sz val="10"/>
        <color theme="1"/>
        <rFont val="等线"/>
        <charset val="134"/>
      </rPr>
      <t>每年的人工清洗成本（固定值）。</t>
    </r>
  </si>
  <si>
    <r>
      <rPr>
        <b/>
        <sz val="10"/>
        <color theme="1"/>
        <rFont val="Calibri"/>
        <charset val="134"/>
      </rPr>
      <t>Robot cost (¥)</t>
    </r>
    <r>
      <rPr>
        <b/>
        <sz val="10"/>
        <color theme="1"/>
        <rFont val="等线"/>
        <charset val="134"/>
      </rPr>
      <t>｜机器人成本</t>
    </r>
  </si>
  <si>
    <t>Annualized robot cost (depreciation + consumables + warranty).</t>
  </si>
  <si>
    <r>
      <rPr>
        <sz val="10"/>
        <color theme="1"/>
        <rFont val="等线"/>
        <charset val="134"/>
      </rPr>
      <t>每年的机器人成本（折旧</t>
    </r>
    <r>
      <rPr>
        <sz val="10"/>
        <color theme="1"/>
        <rFont val="Calibri"/>
        <charset val="134"/>
      </rPr>
      <t>+</t>
    </r>
    <r>
      <rPr>
        <sz val="10"/>
        <color theme="1"/>
        <rFont val="等线"/>
        <charset val="134"/>
      </rPr>
      <t>耗材</t>
    </r>
    <r>
      <rPr>
        <sz val="10"/>
        <color theme="1"/>
        <rFont val="Calibri"/>
        <charset val="134"/>
      </rPr>
      <t>+</t>
    </r>
    <r>
      <rPr>
        <sz val="10"/>
        <color theme="1"/>
        <rFont val="等线"/>
        <charset val="134"/>
      </rPr>
      <t>延保）。</t>
    </r>
  </si>
  <si>
    <t>Manual cost – Robot cost.</t>
  </si>
  <si>
    <r>
      <rPr>
        <sz val="10"/>
        <color theme="1"/>
        <rFont val="等线"/>
        <charset val="134"/>
      </rPr>
      <t>人工成本减去机器人成本。</t>
    </r>
  </si>
  <si>
    <r>
      <rPr>
        <b/>
        <sz val="10"/>
        <color theme="1"/>
        <rFont val="Calibri"/>
        <charset val="134"/>
      </rPr>
      <t>Cumulative savings (¥)</t>
    </r>
    <r>
      <rPr>
        <b/>
        <sz val="10"/>
        <color theme="1"/>
        <rFont val="等线"/>
        <charset val="134"/>
      </rPr>
      <t>｜累计节省</t>
    </r>
  </si>
  <si>
    <t>Sum of annual savings across years.</t>
  </si>
  <si>
    <r>
      <rPr>
        <sz val="10"/>
        <color theme="1"/>
        <rFont val="等线"/>
        <charset val="134"/>
      </rPr>
      <t>各年节省额的累计和。</t>
    </r>
  </si>
  <si>
    <r>
      <rPr>
        <b/>
        <sz val="10"/>
        <color theme="1"/>
        <rFont val="Calibri"/>
        <charset val="134"/>
      </rPr>
      <t>CAPEX (¥)</t>
    </r>
    <r>
      <rPr>
        <b/>
        <sz val="10"/>
        <color theme="1"/>
        <rFont val="等线"/>
        <charset val="134"/>
      </rPr>
      <t>｜前期投入</t>
    </r>
  </si>
  <si>
    <t>Initial investment in robots.</t>
  </si>
  <si>
    <r>
      <rPr>
        <sz val="10"/>
        <color theme="1"/>
        <rFont val="等线"/>
        <charset val="134"/>
      </rPr>
      <t>机器人前期投入（资本支出）。</t>
    </r>
  </si>
  <si>
    <r>
      <rPr>
        <b/>
        <sz val="10"/>
        <color theme="1"/>
        <rFont val="Calibri"/>
        <charset val="134"/>
      </rPr>
      <t>Cum ≥ CAPEX?</t>
    </r>
    <r>
      <rPr>
        <b/>
        <sz val="10"/>
        <color theme="1"/>
        <rFont val="等线"/>
        <charset val="134"/>
      </rPr>
      <t>｜累计</t>
    </r>
    <r>
      <rPr>
        <b/>
        <sz val="10"/>
        <color theme="1"/>
        <rFont val="Calibri"/>
        <charset val="134"/>
      </rPr>
      <t>≥</t>
    </r>
    <r>
      <rPr>
        <b/>
        <sz val="10"/>
        <color theme="1"/>
        <rFont val="等线"/>
        <charset val="134"/>
      </rPr>
      <t>投入</t>
    </r>
    <r>
      <rPr>
        <b/>
        <sz val="10"/>
        <color theme="1"/>
        <rFont val="Calibri"/>
        <charset val="134"/>
      </rPr>
      <t>?</t>
    </r>
  </si>
  <si>
    <t>Whether cumulative savings have surpassed CAPEX.</t>
  </si>
  <si>
    <r>
      <rPr>
        <sz val="10"/>
        <color theme="1"/>
        <rFont val="等线"/>
        <charset val="134"/>
      </rPr>
      <t>累计节省是否超过前期投入。</t>
    </r>
  </si>
  <si>
    <r>
      <rPr>
        <b/>
        <sz val="10"/>
        <color theme="1"/>
        <rFont val="Calibri"/>
        <charset val="134"/>
      </rPr>
      <t>Cumulative savings + Extra revenue (¥)</t>
    </r>
    <r>
      <rPr>
        <b/>
        <sz val="10"/>
        <color theme="1"/>
        <rFont val="等线"/>
        <charset val="134"/>
      </rPr>
      <t>｜累计节省</t>
    </r>
    <r>
      <rPr>
        <b/>
        <sz val="10"/>
        <color theme="1"/>
        <rFont val="Calibri"/>
        <charset val="134"/>
      </rPr>
      <t>+</t>
    </r>
    <r>
      <rPr>
        <b/>
        <sz val="10"/>
        <color theme="1"/>
        <rFont val="等线"/>
        <charset val="134"/>
      </rPr>
      <t>增收</t>
    </r>
  </si>
  <si>
    <t>Cumulative savings plus additional revenue from reduced soiling.</t>
  </si>
  <si>
    <r>
      <rPr>
        <sz val="10"/>
        <color theme="1"/>
        <rFont val="等线"/>
        <charset val="134"/>
      </rPr>
      <t>累计节省额加上因减少污损带来的额外发电收益。</t>
    </r>
  </si>
  <si>
    <r>
      <rPr>
        <b/>
        <sz val="10"/>
        <color theme="0"/>
        <rFont val="Calibri"/>
        <charset val="134"/>
      </rPr>
      <t xml:space="preserve">5. Dashboard - Dashboard: cost comparison, cumulative vs CAPEX, benefits. / </t>
    </r>
    <r>
      <rPr>
        <b/>
        <sz val="10"/>
        <color theme="0"/>
        <rFont val="等线"/>
        <charset val="134"/>
      </rPr>
      <t>图表展示：人工</t>
    </r>
    <r>
      <rPr>
        <b/>
        <sz val="10"/>
        <color theme="0"/>
        <rFont val="Calibri"/>
        <charset val="134"/>
      </rPr>
      <t xml:space="preserve"> vs </t>
    </r>
    <r>
      <rPr>
        <b/>
        <sz val="10"/>
        <color theme="0"/>
        <rFont val="等线"/>
        <charset val="134"/>
      </rPr>
      <t>机器人、累计节省</t>
    </r>
    <r>
      <rPr>
        <b/>
        <sz val="10"/>
        <color theme="0"/>
        <rFont val="Calibri"/>
        <charset val="134"/>
      </rPr>
      <t xml:space="preserve"> vs CAPEX</t>
    </r>
    <r>
      <rPr>
        <b/>
        <sz val="10"/>
        <color theme="0"/>
        <rFont val="等线"/>
        <charset val="134"/>
      </rPr>
      <t>、累计效益</t>
    </r>
  </si>
  <si>
    <r>
      <rPr>
        <b/>
        <sz val="10"/>
        <color theme="1"/>
        <rFont val="Calibri"/>
        <charset val="134"/>
      </rPr>
      <t>Annual Cost Comparison</t>
    </r>
    <r>
      <rPr>
        <b/>
        <sz val="10"/>
        <color theme="1"/>
        <rFont val="等线"/>
        <charset val="134"/>
      </rPr>
      <t>｜年度成本对比</t>
    </r>
  </si>
  <si>
    <t>Column chart comparing annual manual cost vs robot cost.</t>
  </si>
  <si>
    <r>
      <rPr>
        <sz val="10"/>
        <color theme="1"/>
        <rFont val="等线"/>
        <charset val="134"/>
      </rPr>
      <t>柱状图：人工</t>
    </r>
    <r>
      <rPr>
        <sz val="10"/>
        <color theme="1"/>
        <rFont val="Calibri"/>
        <charset val="134"/>
      </rPr>
      <t xml:space="preserve"> vs </t>
    </r>
    <r>
      <rPr>
        <sz val="10"/>
        <color theme="1"/>
        <rFont val="等线"/>
        <charset val="134"/>
      </rPr>
      <t>机器人年度成本对比。</t>
    </r>
  </si>
  <si>
    <r>
      <rPr>
        <b/>
        <sz val="10"/>
        <color theme="1"/>
        <rFont val="Calibri"/>
        <charset val="134"/>
      </rPr>
      <t>Cumulative Savings vs CAPEX</t>
    </r>
    <r>
      <rPr>
        <b/>
        <sz val="10"/>
        <color theme="1"/>
        <rFont val="等线"/>
        <charset val="134"/>
      </rPr>
      <t>｜累计节省</t>
    </r>
    <r>
      <rPr>
        <b/>
        <sz val="10"/>
        <color theme="1"/>
        <rFont val="Calibri"/>
        <charset val="134"/>
      </rPr>
      <t xml:space="preserve"> </t>
    </r>
    <r>
      <rPr>
        <b/>
        <sz val="10"/>
        <color theme="1"/>
        <rFont val="等线"/>
        <charset val="134"/>
      </rPr>
      <t>对比</t>
    </r>
    <r>
      <rPr>
        <b/>
        <sz val="10"/>
        <color theme="1"/>
        <rFont val="Calibri"/>
        <charset val="134"/>
      </rPr>
      <t xml:space="preserve"> </t>
    </r>
    <r>
      <rPr>
        <b/>
        <sz val="10"/>
        <color theme="1"/>
        <rFont val="等线"/>
        <charset val="134"/>
      </rPr>
      <t>前期投入</t>
    </r>
  </si>
  <si>
    <t>Line chart showing cumulative savings and CAPEX, highlighting payback point.</t>
  </si>
  <si>
    <r>
      <rPr>
        <sz val="10"/>
        <color theme="1"/>
        <rFont val="等线"/>
        <charset val="134"/>
      </rPr>
      <t>折线图：累计节省</t>
    </r>
    <r>
      <rPr>
        <sz val="10"/>
        <color theme="1"/>
        <rFont val="Calibri"/>
        <charset val="134"/>
      </rPr>
      <t xml:space="preserve"> vs </t>
    </r>
    <r>
      <rPr>
        <sz val="10"/>
        <color theme="1"/>
        <rFont val="等线"/>
        <charset val="134"/>
      </rPr>
      <t>前期投入，直观展示回本点。</t>
    </r>
  </si>
  <si>
    <r>
      <rPr>
        <b/>
        <sz val="10"/>
        <color theme="1"/>
        <rFont val="Calibri"/>
        <charset val="134"/>
      </rPr>
      <t>Cumulative Economic Benefits (incl. revenue)</t>
    </r>
    <r>
      <rPr>
        <b/>
        <sz val="10"/>
        <color theme="1"/>
        <rFont val="等线"/>
        <charset val="134"/>
      </rPr>
      <t>｜累计经济效益（含增收）</t>
    </r>
  </si>
  <si>
    <t>Line chart showing cumulative savings plus extra revenue.</t>
  </si>
  <si>
    <r>
      <rPr>
        <sz val="10"/>
        <color theme="1"/>
        <rFont val="等线"/>
        <charset val="134"/>
      </rPr>
      <t>折线图：累计节省</t>
    </r>
    <r>
      <rPr>
        <sz val="10"/>
        <color theme="1"/>
        <rFont val="Calibri"/>
        <charset val="134"/>
      </rPr>
      <t>+</t>
    </r>
    <r>
      <rPr>
        <sz val="10"/>
        <color theme="1"/>
        <rFont val="等线"/>
        <charset val="134"/>
      </rPr>
      <t>发电增收。</t>
    </r>
  </si>
  <si>
    <r>
      <rPr>
        <b/>
        <sz val="10"/>
        <color theme="0"/>
        <rFont val="Calibri"/>
        <charset val="134"/>
      </rPr>
      <t xml:space="preserve">6. Scenarios - Dashboard: cost comparison, cumulative vs CAPEX, benefits. / </t>
    </r>
    <r>
      <rPr>
        <b/>
        <sz val="10"/>
        <color theme="0"/>
        <rFont val="等线"/>
        <charset val="134"/>
      </rPr>
      <t>图表展示：人工</t>
    </r>
    <r>
      <rPr>
        <b/>
        <sz val="10"/>
        <color theme="0"/>
        <rFont val="Calibri"/>
        <charset val="134"/>
      </rPr>
      <t xml:space="preserve"> vs </t>
    </r>
    <r>
      <rPr>
        <b/>
        <sz val="10"/>
        <color theme="0"/>
        <rFont val="等线"/>
        <charset val="134"/>
      </rPr>
      <t>机器人、累计节省</t>
    </r>
    <r>
      <rPr>
        <b/>
        <sz val="10"/>
        <color theme="0"/>
        <rFont val="Calibri"/>
        <charset val="134"/>
      </rPr>
      <t xml:space="preserve"> vs CAPEX</t>
    </r>
    <r>
      <rPr>
        <b/>
        <sz val="10"/>
        <color theme="0"/>
        <rFont val="等线"/>
        <charset val="134"/>
      </rPr>
      <t>、累计效益</t>
    </r>
  </si>
  <si>
    <r>
      <rPr>
        <b/>
        <sz val="10"/>
        <color theme="1"/>
        <rFont val="Calibri"/>
        <charset val="134"/>
      </rPr>
      <t>Scenario</t>
    </r>
    <r>
      <rPr>
        <b/>
        <sz val="10"/>
        <color theme="1"/>
        <rFont val="等线"/>
        <charset val="134"/>
      </rPr>
      <t>｜场景</t>
    </r>
  </si>
  <si>
    <t>Predefined scenario (Rooftop, C&amp;I, Utility).</t>
  </si>
  <si>
    <r>
      <rPr>
        <sz val="10"/>
        <color theme="1"/>
        <rFont val="等线"/>
        <charset val="134"/>
      </rPr>
      <t>预设场景（屋顶、工商业、大型地面电站）。</t>
    </r>
  </si>
  <si>
    <r>
      <rPr>
        <b/>
        <sz val="10"/>
        <color theme="1"/>
        <rFont val="Calibri"/>
        <charset val="134"/>
      </rPr>
      <t>Plant</t>
    </r>
    <r>
      <rPr>
        <b/>
        <sz val="10"/>
        <color theme="1"/>
        <rFont val="等线"/>
        <charset val="134"/>
      </rPr>
      <t>｜电站规模</t>
    </r>
  </si>
  <si>
    <t>MW capacity of the scenario.</t>
  </si>
  <si>
    <r>
      <rPr>
        <sz val="10"/>
        <color theme="1"/>
        <rFont val="等线"/>
        <charset val="134"/>
      </rPr>
      <t>电站规模（</t>
    </r>
    <r>
      <rPr>
        <sz val="10"/>
        <color theme="1"/>
        <rFont val="Calibri"/>
        <charset val="134"/>
      </rPr>
      <t>MW</t>
    </r>
    <r>
      <rPr>
        <sz val="10"/>
        <color theme="1"/>
        <rFont val="等线"/>
        <charset val="134"/>
      </rPr>
      <t>）。</t>
    </r>
  </si>
  <si>
    <r>
      <rPr>
        <b/>
        <sz val="10"/>
        <color theme="1"/>
        <rFont val="Calibri"/>
        <charset val="134"/>
      </rPr>
      <t>Freq</t>
    </r>
    <r>
      <rPr>
        <b/>
        <sz val="10"/>
        <color theme="1"/>
        <rFont val="等线"/>
        <charset val="134"/>
      </rPr>
      <t>｜清洗频次</t>
    </r>
  </si>
  <si>
    <t>Annual cleaning cycles.</t>
  </si>
  <si>
    <r>
      <rPr>
        <sz val="10"/>
        <color theme="1"/>
        <rFont val="等线"/>
        <charset val="134"/>
      </rPr>
      <t>每年清洗次数。</t>
    </r>
  </si>
  <si>
    <r>
      <rPr>
        <b/>
        <sz val="10"/>
        <color theme="1"/>
        <rFont val="Calibri"/>
        <charset val="134"/>
      </rPr>
      <t>Manual</t>
    </r>
    <r>
      <rPr>
        <b/>
        <sz val="10"/>
        <color theme="1"/>
        <rFont val="等线"/>
        <charset val="134"/>
      </rPr>
      <t>｜人工清洗单价</t>
    </r>
  </si>
  <si>
    <t>Manual cost per MW per cycle.</t>
  </si>
  <si>
    <r>
      <rPr>
        <sz val="10"/>
        <color theme="1"/>
        <rFont val="等线"/>
        <charset val="134"/>
      </rPr>
      <t>每兆瓦人工清洗费用。</t>
    </r>
  </si>
  <si>
    <r>
      <rPr>
        <b/>
        <sz val="10"/>
        <color theme="1"/>
        <rFont val="Calibri"/>
        <charset val="134"/>
      </rPr>
      <t>Soiling</t>
    </r>
    <r>
      <rPr>
        <b/>
        <sz val="10"/>
        <color theme="1"/>
        <rFont val="等线"/>
        <charset val="134"/>
      </rPr>
      <t>｜污损改善率</t>
    </r>
  </si>
  <si>
    <t>Expected efficiency gain from cleaning.</t>
  </si>
  <si>
    <r>
      <rPr>
        <sz val="10"/>
        <color theme="1"/>
        <rFont val="等线"/>
        <charset val="134"/>
      </rPr>
      <t>清洁后减少的污损比例。</t>
    </r>
  </si>
  <si>
    <r>
      <rPr>
        <b/>
        <sz val="10"/>
        <color theme="1"/>
        <rFont val="Calibri"/>
        <charset val="134"/>
      </rPr>
      <t>ElecPrice</t>
    </r>
    <r>
      <rPr>
        <b/>
        <sz val="10"/>
        <color theme="1"/>
        <rFont val="等线"/>
        <charset val="134"/>
      </rPr>
      <t>｜电价</t>
    </r>
  </si>
  <si>
    <t>Electricity price per kWh.</t>
  </si>
  <si>
    <r>
      <rPr>
        <sz val="10"/>
        <color theme="1"/>
        <rFont val="等线"/>
        <charset val="134"/>
      </rPr>
      <t>电价（元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度）。</t>
    </r>
  </si>
  <si>
    <r>
      <rPr>
        <b/>
        <sz val="10"/>
        <color theme="1"/>
        <rFont val="Calibri"/>
        <charset val="134"/>
      </rPr>
      <t>CapFactor</t>
    </r>
    <r>
      <rPr>
        <b/>
        <sz val="10"/>
        <color theme="1"/>
        <rFont val="等线"/>
        <charset val="134"/>
      </rPr>
      <t>｜容量系数</t>
    </r>
  </si>
  <si>
    <t>Capacity factor (%) for the scenario.</t>
  </si>
  <si>
    <r>
      <rPr>
        <sz val="10"/>
        <color theme="1"/>
        <rFont val="等线"/>
        <charset val="134"/>
      </rPr>
      <t>场景的容量系数。</t>
    </r>
  </si>
  <si>
    <r>
      <rPr>
        <b/>
        <sz val="10"/>
        <color theme="1"/>
        <rFont val="Calibri"/>
        <charset val="134"/>
      </rPr>
      <t>Window</t>
    </r>
    <r>
      <rPr>
        <b/>
        <sz val="10"/>
        <color theme="1"/>
        <rFont val="等线"/>
        <charset val="134"/>
      </rPr>
      <t>｜施工窗</t>
    </r>
  </si>
  <si>
    <t>Cleaning window (days per cycle).</t>
  </si>
  <si>
    <r>
      <rPr>
        <sz val="10"/>
        <color theme="1"/>
        <rFont val="等线"/>
        <charset val="134"/>
      </rPr>
      <t>每周期施工天数。</t>
    </r>
  </si>
  <si>
    <r>
      <rPr>
        <b/>
        <sz val="10"/>
        <color theme="1"/>
        <rFont val="Calibri"/>
        <charset val="134"/>
      </rPr>
      <t>Shifts</t>
    </r>
    <r>
      <rPr>
        <b/>
        <sz val="10"/>
        <color theme="1"/>
        <rFont val="等线"/>
        <charset val="134"/>
      </rPr>
      <t>｜班次数</t>
    </r>
  </si>
  <si>
    <r>
      <rPr>
        <b/>
        <sz val="10"/>
        <color theme="1"/>
        <rFont val="Calibri"/>
        <charset val="134"/>
      </rPr>
      <t>Redundancy</t>
    </r>
    <r>
      <rPr>
        <b/>
        <sz val="10"/>
        <color theme="1"/>
        <rFont val="等线"/>
        <charset val="134"/>
      </rPr>
      <t>｜冗余系数</t>
    </r>
  </si>
  <si>
    <r>
      <rPr>
        <b/>
        <sz val="10"/>
        <color theme="1"/>
        <rFont val="Calibri"/>
        <charset val="134"/>
      </rPr>
      <t>Horizon</t>
    </r>
    <r>
      <rPr>
        <b/>
        <sz val="10"/>
        <color theme="1"/>
        <rFont val="等线"/>
        <charset val="134"/>
      </rPr>
      <t>｜测算年限</t>
    </r>
  </si>
  <si>
    <t>Analysis period in years.</t>
  </si>
  <si>
    <r>
      <rPr>
        <b/>
        <sz val="10"/>
        <color theme="0"/>
        <rFont val="Calibri"/>
        <charset val="134"/>
      </rPr>
      <t xml:space="preserve">7. Sensitivity - Sensitivity: 5x5 heatmap of ROI under different manual costs and frequencies. / </t>
    </r>
    <r>
      <rPr>
        <b/>
        <sz val="10"/>
        <color theme="0"/>
        <rFont val="等线"/>
        <charset val="134"/>
      </rPr>
      <t>敏感性分析：</t>
    </r>
    <r>
      <rPr>
        <b/>
        <sz val="10"/>
        <color theme="0"/>
        <rFont val="Calibri"/>
        <charset val="134"/>
      </rPr>
      <t xml:space="preserve">5×5 </t>
    </r>
    <r>
      <rPr>
        <b/>
        <sz val="10"/>
        <color theme="0"/>
        <rFont val="等线"/>
        <charset val="134"/>
      </rPr>
      <t>热力图展示</t>
    </r>
    <r>
      <rPr>
        <b/>
        <sz val="10"/>
        <color theme="0"/>
        <rFont val="Calibri"/>
        <charset val="134"/>
      </rPr>
      <t xml:space="preserve"> ROI </t>
    </r>
    <r>
      <rPr>
        <b/>
        <sz val="10"/>
        <color theme="0"/>
        <rFont val="等线"/>
        <charset val="134"/>
      </rPr>
      <t>在不同人工成本和频次下的变化</t>
    </r>
  </si>
  <si>
    <r>
      <rPr>
        <b/>
        <sz val="10"/>
        <color theme="1"/>
        <rFont val="Calibri"/>
        <charset val="134"/>
      </rPr>
      <t xml:space="preserve">7. Sensitivity </t>
    </r>
    <r>
      <rPr>
        <b/>
        <sz val="10"/>
        <color theme="1"/>
        <rFont val="等线"/>
        <charset val="134"/>
      </rPr>
      <t>表</t>
    </r>
  </si>
  <si>
    <t>Rows = different manual cleaning cost levels; Columns = different cleaning frequency levels.</t>
  </si>
  <si>
    <r>
      <rPr>
        <sz val="10"/>
        <color theme="1"/>
        <rFont val="等线"/>
        <charset val="134"/>
      </rPr>
      <t>行</t>
    </r>
    <r>
      <rPr>
        <sz val="10"/>
        <color theme="1"/>
        <rFont val="Calibri"/>
        <charset val="134"/>
      </rPr>
      <t xml:space="preserve"> = </t>
    </r>
    <r>
      <rPr>
        <sz val="10"/>
        <color theme="1"/>
        <rFont val="等线"/>
        <charset val="134"/>
      </rPr>
      <t>不同人工清洗单价；列</t>
    </r>
    <r>
      <rPr>
        <sz val="10"/>
        <color theme="1"/>
        <rFont val="Calibri"/>
        <charset val="134"/>
      </rPr>
      <t xml:space="preserve"> = </t>
    </r>
    <r>
      <rPr>
        <sz val="10"/>
        <color theme="1"/>
        <rFont val="等线"/>
        <charset val="134"/>
      </rPr>
      <t>不同清洗频次。</t>
    </r>
  </si>
  <si>
    <t>ROI values</t>
  </si>
  <si>
    <t>ROI calculated for each combination (approx).</t>
  </si>
  <si>
    <r>
      <rPr>
        <sz val="10"/>
        <color theme="1"/>
        <rFont val="等线"/>
        <charset val="134"/>
      </rPr>
      <t>每个人工单价</t>
    </r>
    <r>
      <rPr>
        <sz val="10"/>
        <color theme="1"/>
        <rFont val="Calibri"/>
        <charset val="134"/>
      </rPr>
      <t xml:space="preserve"> × </t>
    </r>
    <r>
      <rPr>
        <sz val="10"/>
        <color theme="1"/>
        <rFont val="等线"/>
        <charset val="134"/>
      </rPr>
      <t>清洗频次组合对应的</t>
    </r>
    <r>
      <rPr>
        <sz val="10"/>
        <color theme="1"/>
        <rFont val="Calibri"/>
        <charset val="134"/>
      </rPr>
      <t xml:space="preserve"> ROI</t>
    </r>
    <r>
      <rPr>
        <sz val="10"/>
        <color theme="1"/>
        <rFont val="等线"/>
        <charset val="134"/>
      </rPr>
      <t>。</t>
    </r>
  </si>
  <si>
    <r>
      <rPr>
        <b/>
        <sz val="10"/>
        <color theme="1"/>
        <rFont val="Calibri"/>
        <charset val="134"/>
      </rPr>
      <t>Heatmap</t>
    </r>
    <r>
      <rPr>
        <b/>
        <sz val="10"/>
        <color theme="1"/>
        <rFont val="等线"/>
        <charset val="134"/>
      </rPr>
      <t>｜热力图</t>
    </r>
  </si>
  <si>
    <t>3-color scale: Red (low ROI), Yellow (medium), Green (high ROI).</t>
  </si>
  <si>
    <r>
      <rPr>
        <sz val="10"/>
        <color theme="1"/>
        <rFont val="等线"/>
        <charset val="134"/>
      </rPr>
      <t>三色热力图：红</t>
    </r>
    <r>
      <rPr>
        <sz val="10"/>
        <color theme="1"/>
        <rFont val="Calibri"/>
        <charset val="134"/>
      </rPr>
      <t>=</t>
    </r>
    <r>
      <rPr>
        <sz val="10"/>
        <color theme="1"/>
        <rFont val="等线"/>
        <charset val="134"/>
      </rPr>
      <t>低回报，黄</t>
    </r>
    <r>
      <rPr>
        <sz val="10"/>
        <color theme="1"/>
        <rFont val="Calibri"/>
        <charset val="134"/>
      </rPr>
      <t>=</t>
    </r>
    <r>
      <rPr>
        <sz val="10"/>
        <color theme="1"/>
        <rFont val="等线"/>
        <charset val="134"/>
      </rPr>
      <t>中等，绿</t>
    </r>
    <r>
      <rPr>
        <sz val="10"/>
        <color theme="1"/>
        <rFont val="Calibri"/>
        <charset val="134"/>
      </rPr>
      <t>=</t>
    </r>
    <r>
      <rPr>
        <sz val="10"/>
        <color theme="1"/>
        <rFont val="等线"/>
        <charset val="134"/>
      </rPr>
      <t>高回报。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</si>
</sst>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%"/>
  </numFmts>
  <fonts count="33">
    <font>
      <sz val="11"/>
      <color theme="1"/>
      <name val="宋体"/>
      <charset val="134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theme="0"/>
      <name val="Calibri"/>
      <charset val="134"/>
    </font>
    <font>
      <sz val="11"/>
      <color theme="1"/>
      <name val="Calibri"/>
      <charset val="134"/>
    </font>
    <font>
      <b/>
      <sz val="11"/>
      <color theme="0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等线"/>
      <charset val="134"/>
    </font>
    <font>
      <b/>
      <sz val="10"/>
      <color theme="0"/>
      <name val="等线"/>
      <charset val="134"/>
    </font>
    <font>
      <b/>
      <sz val="10"/>
      <color theme="1"/>
      <name val="等线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b/>
      <sz val="11"/>
      <color theme="0"/>
      <name val="微软雅黑"/>
      <charset val="134"/>
    </font>
    <font>
      <sz val="8"/>
      <name val="Tahoma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10" borderId="0" xfId="0" applyFont="1" applyFill="1"/>
    <xf numFmtId="0" fontId="5" fillId="8" borderId="1" xfId="0" applyFont="1" applyFill="1" applyBorder="1"/>
    <xf numFmtId="0" fontId="4" fillId="0" borderId="1" xfId="0" applyFont="1" applyBorder="1"/>
    <xf numFmtId="0" fontId="6" fillId="11" borderId="0" xfId="0" applyFont="1" applyFill="1"/>
    <xf numFmtId="176" fontId="0" fillId="0" borderId="0" xfId="0" applyNumberFormat="1"/>
    <xf numFmtId="0" fontId="5" fillId="6" borderId="0" xfId="0" applyFont="1" applyFill="1"/>
    <xf numFmtId="176" fontId="5" fillId="6" borderId="0" xfId="0" applyNumberFormat="1" applyFont="1" applyFill="1"/>
    <xf numFmtId="176" fontId="4" fillId="0" borderId="0" xfId="0" applyNumberFormat="1" applyFont="1"/>
    <xf numFmtId="0" fontId="5" fillId="5" borderId="1" xfId="0" applyFont="1" applyFill="1" applyBorder="1"/>
    <xf numFmtId="176" fontId="5" fillId="5" borderId="1" xfId="0" applyNumberFormat="1" applyFont="1" applyFill="1" applyBorder="1"/>
    <xf numFmtId="176" fontId="4" fillId="0" borderId="1" xfId="0" applyNumberFormat="1" applyFont="1" applyBorder="1"/>
    <xf numFmtId="177" fontId="4" fillId="0" borderId="1" xfId="0" applyNumberFormat="1" applyFont="1" applyBorder="1"/>
    <xf numFmtId="3" fontId="4" fillId="0" borderId="1" xfId="0" applyNumberFormat="1" applyFont="1" applyBorder="1"/>
    <xf numFmtId="0" fontId="5" fillId="4" borderId="1" xfId="0" applyFont="1" applyFill="1" applyBorder="1"/>
    <xf numFmtId="176" fontId="5" fillId="4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4" fillId="12" borderId="1" xfId="0" applyFont="1" applyFill="1" applyBorder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4" fillId="0" borderId="1" xfId="0" applyFont="1" applyFill="1" applyBorder="1"/>
    <xf numFmtId="176" fontId="4" fillId="0" borderId="1" xfId="0" applyNumberFormat="1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Cost Comparison｜年度成本对比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"Manual｜人工"</c:f>
              <c:strCache>
                <c:ptCount val="1"/>
                <c:pt idx="0">
                  <c:v>Manual｜人工</c:v>
                </c:pt>
              </c:strCache>
            </c:strRef>
          </c:tx>
          <c:invertIfNegative val="0"/>
          <c:dLbls>
            <c:delete val="1"/>
          </c:dLbls>
          <c:cat>
            <c:strRef>
              <c:f>Yearly!$A$2:$A$31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Yearly!$B$2:$B$31</c:f>
              <c:numCache>
                <c:formatCode>"$"#,##0.00;\-"$"#,##0.00</c:formatCode>
                <c:ptCount val="30"/>
                <c:pt idx="0">
                  <c:v>90000</c:v>
                </c:pt>
                <c:pt idx="1">
                  <c:v>90000</c:v>
                </c:pt>
                <c:pt idx="2">
                  <c:v>90000</c:v>
                </c:pt>
                <c:pt idx="3">
                  <c:v>90000</c:v>
                </c:pt>
                <c:pt idx="4">
                  <c:v>90000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strRef>
              <c:f>"Robot｜机器人"</c:f>
              <c:strCache>
                <c:ptCount val="1"/>
                <c:pt idx="0">
                  <c:v>Robot｜机器人</c:v>
                </c:pt>
              </c:strCache>
            </c:strRef>
          </c:tx>
          <c:invertIfNegative val="0"/>
          <c:dLbls>
            <c:delete val="1"/>
          </c:dLbls>
          <c:cat>
            <c:strRef>
              <c:f>Yearly!$A$2:$A$31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Yearly!$C$2:$C$31</c:f>
              <c:numCache>
                <c:formatCode>"$"#,##0.00;\-"$"#,##0.00</c:formatCode>
                <c:ptCount val="30"/>
                <c:pt idx="0">
                  <c:v>9140</c:v>
                </c:pt>
                <c:pt idx="1">
                  <c:v>9140</c:v>
                </c:pt>
                <c:pt idx="2">
                  <c:v>9140</c:v>
                </c:pt>
                <c:pt idx="3">
                  <c:v>9140</c:v>
                </c:pt>
                <c:pt idx="4">
                  <c:v>9140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Year｜年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¥</a:t>
                </a:r>
                <a:endParaRPr lang="en-US"/>
              </a:p>
            </c:rich>
          </c:tx>
          <c:layout/>
          <c:overlay val="0"/>
        </c:title>
        <c:numFmt formatCode="&quot;$&quot;#,##0.00;\-&quot;$&quot;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328619-e377-4f91-a27c-836363335c6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Savings vs CAPEX｜累计节省 对比 前期投入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"Cumulative Savings｜累计节省"</c:f>
              <c:strCache>
                <c:ptCount val="1"/>
                <c:pt idx="0">
                  <c:v>Cumulative Savings｜累计节省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Yearly!$A$2:$A$31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Yearly!$E$2:$E$31</c:f>
              <c:numCache>
                <c:formatCode>"$"#,##0.00;\-"$"#,##0.00</c:formatCode>
                <c:ptCount val="30"/>
                <c:pt idx="0">
                  <c:v>80860</c:v>
                </c:pt>
                <c:pt idx="1">
                  <c:v>161720</c:v>
                </c:pt>
                <c:pt idx="2">
                  <c:v>242580</c:v>
                </c:pt>
                <c:pt idx="3">
                  <c:v>323440</c:v>
                </c:pt>
                <c:pt idx="4">
                  <c:v>404300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"CAPEX｜前期投入"</c:f>
              <c:strCache>
                <c:ptCount val="1"/>
                <c:pt idx="0">
                  <c:v>CAPEX｜前期投入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Yearly!$A$2:$A$31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Yearly!$F$2:$F$31</c:f>
              <c:numCache>
                <c:formatCode>"$"#,##0.00;\-"$"#,##0.00</c:formatCode>
                <c:ptCount val="30"/>
                <c:pt idx="0">
                  <c:v>23800</c:v>
                </c:pt>
                <c:pt idx="1">
                  <c:v>23800</c:v>
                </c:pt>
                <c:pt idx="2">
                  <c:v>23800</c:v>
                </c:pt>
                <c:pt idx="3">
                  <c:v>23800</c:v>
                </c:pt>
                <c:pt idx="4">
                  <c:v>23800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Year｜年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¥</a:t>
                </a:r>
                <a:endParaRPr lang="en-US"/>
              </a:p>
            </c:rich>
          </c:tx>
          <c:layout/>
          <c:overlay val="0"/>
        </c:title>
        <c:numFmt formatCode="&quot;$&quot;#,##0.00;\-&quot;$&quot;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a6bb0c-27d3-4f68-be31-efd0d1a7355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Economic Benefits（incl. revenue）｜累计经济效益（含增收）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"Cum Savings + Extra Revenue｜累计节省+增收"</c:f>
              <c:strCache>
                <c:ptCount val="1"/>
                <c:pt idx="0">
                  <c:v>Cum Savings + Extra Revenue｜累计节省+增收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Yearly!$A$2:$A$31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Yearly!$H$2:$H$31</c:f>
              <c:numCache>
                <c:formatCode>"$"#,##0.00;\-"$"#,##0.00</c:formatCode>
                <c:ptCount val="30"/>
                <c:pt idx="0">
                  <c:v>170212</c:v>
                </c:pt>
                <c:pt idx="1">
                  <c:v>340424</c:v>
                </c:pt>
                <c:pt idx="2">
                  <c:v>510636</c:v>
                </c:pt>
                <c:pt idx="3">
                  <c:v>680848</c:v>
                </c:pt>
                <c:pt idx="4">
                  <c:v>851060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Year｜年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¥</a:t>
                </a:r>
                <a:endParaRPr lang="en-US"/>
              </a:p>
            </c:rich>
          </c:tx>
          <c:layout/>
          <c:overlay val="0"/>
        </c:title>
        <c:numFmt formatCode="&quot;$&quot;#,##0.00;\-&quot;$&quot;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d9c2a0-cbec-44ec-a9cc-916018d3aa9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533400</xdr:colOff>
      <xdr:row>17</xdr:row>
      <xdr:rowOff>19050</xdr:rowOff>
    </xdr:to>
    <xdr:graphicFrame>
      <xdr:nvGraphicFramePr>
        <xdr:cNvPr id="2" name="Chart 1"/>
        <xdr:cNvGraphicFramePr/>
      </xdr:nvGraphicFramePr>
      <xdr:xfrm>
        <a:off x="0" y="361950"/>
        <a:ext cx="505396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16</xdr:col>
      <xdr:colOff>533400</xdr:colOff>
      <xdr:row>17</xdr:row>
      <xdr:rowOff>19050</xdr:rowOff>
    </xdr:to>
    <xdr:graphicFrame>
      <xdr:nvGraphicFramePr>
        <xdr:cNvPr id="3" name="Chart 2"/>
        <xdr:cNvGraphicFramePr/>
      </xdr:nvGraphicFramePr>
      <xdr:xfrm>
        <a:off x="5812155" y="361950"/>
        <a:ext cx="505396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7</xdr:col>
      <xdr:colOff>533400</xdr:colOff>
      <xdr:row>34</xdr:row>
      <xdr:rowOff>19050</xdr:rowOff>
    </xdr:to>
    <xdr:graphicFrame>
      <xdr:nvGraphicFramePr>
        <xdr:cNvPr id="4" name="Chart 3"/>
        <xdr:cNvGraphicFramePr/>
      </xdr:nvGraphicFramePr>
      <xdr:xfrm>
        <a:off x="0" y="3438525"/>
        <a:ext cx="505396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14" sqref="B14"/>
    </sheetView>
  </sheetViews>
  <sheetFormatPr defaultColWidth="9" defaultRowHeight="14.25" outlineLevelCol="1"/>
  <cols>
    <col min="1" max="1" width="55.7079646017699" style="16" customWidth="1"/>
    <col min="2" max="2" width="36.7079646017699" style="16" customWidth="1"/>
    <col min="3" max="16384" width="9" style="16"/>
  </cols>
  <sheetData>
    <row r="1" ht="15.75" spans="1:2">
      <c r="A1" s="32" t="s">
        <v>0</v>
      </c>
      <c r="B1" s="32" t="s">
        <v>1</v>
      </c>
    </row>
    <row r="2" ht="15.75" spans="1:2">
      <c r="A2" s="33" t="s">
        <v>2</v>
      </c>
      <c r="B2" s="34" t="s">
        <v>3</v>
      </c>
    </row>
    <row r="3" spans="1:2">
      <c r="A3" s="35"/>
      <c r="B3" s="36"/>
    </row>
    <row r="4" ht="15.75" spans="1:2">
      <c r="A4" s="33" t="s">
        <v>4</v>
      </c>
      <c r="B4" s="37" t="str">
        <f>IFERROR(VLOOKUP($B$2,Scenarios!$A$2:$O$200,2,FALSE),"")</f>
        <v>ACME Solar Munich 10MW</v>
      </c>
    </row>
    <row r="5" ht="15.75" spans="1:2">
      <c r="A5" s="33" t="s">
        <v>5</v>
      </c>
      <c r="B5" s="37" t="str">
        <f>IFERROR(VLOOKUP($B$2,Scenarios!$A$2:$O$200,3,FALSE),"")</f>
        <v>Germany</v>
      </c>
    </row>
    <row r="6" ht="15.75" spans="1:2">
      <c r="A6" s="33" t="s">
        <v>6</v>
      </c>
      <c r="B6" s="37" t="str">
        <f>IFERROR(VLOOKUP($B$2,Scenarios!$A$2:$O$200,4,FALSE),"")</f>
        <v>2025-09-10</v>
      </c>
    </row>
    <row r="7" ht="15.75" spans="1:2">
      <c r="A7" s="33" t="s">
        <v>7</v>
      </c>
      <c r="B7" s="37" t="str">
        <f>IFERROR(VLOOKUP($B$2,Scenarios!$A$2:$O$200,15,FALSE),"")</f>
        <v>Proposal for Munich industrial site</v>
      </c>
    </row>
    <row r="8" spans="1:2">
      <c r="A8" s="36"/>
      <c r="B8" s="36"/>
    </row>
    <row r="9" ht="15.75" spans="1:2">
      <c r="A9" s="32" t="s">
        <v>8</v>
      </c>
      <c r="B9" s="32" t="s">
        <v>9</v>
      </c>
    </row>
    <row r="10" ht="15.75" spans="1:2">
      <c r="A10" s="33" t="s">
        <v>10</v>
      </c>
      <c r="B10" s="37">
        <f>VLOOKUP($B$2,Scenarios!$A$2:$O$200,5,FALSE)</f>
        <v>10</v>
      </c>
    </row>
    <row r="11" ht="15.75" spans="1:2">
      <c r="A11" s="33" t="s">
        <v>11</v>
      </c>
      <c r="B11" s="37">
        <f>VLOOKUP($B$2,Scenarios!$A$2:$O$200,6,FALSE)</f>
        <v>6</v>
      </c>
    </row>
    <row r="12" ht="15.75" spans="1:2">
      <c r="A12" s="33" t="s">
        <v>12</v>
      </c>
      <c r="B12" s="38">
        <f>VLOOKUP($B$2,Scenarios!$A$2:$O$200,7,FALSE)</f>
        <v>1500</v>
      </c>
    </row>
    <row r="13" ht="15.75" spans="1:2">
      <c r="A13" s="33" t="s">
        <v>13</v>
      </c>
      <c r="B13" s="37">
        <f>VLOOKUP($B$2,Scenarios!$A$2:$O$200,8,FALSE)</f>
        <v>3</v>
      </c>
    </row>
    <row r="14" ht="15.75" spans="1:2">
      <c r="A14" s="33" t="s">
        <v>14</v>
      </c>
      <c r="B14" s="38">
        <f>VLOOKUP($B$2,Scenarios!$A$2:$O$200,9,FALSE)</f>
        <v>0.2</v>
      </c>
    </row>
    <row r="15" ht="15.75" spans="1:2">
      <c r="A15" s="33" t="s">
        <v>15</v>
      </c>
      <c r="B15" s="37">
        <f>VLOOKUP($B$2,Scenarios!$A$2:$O$200,10,FALSE)</f>
        <v>17</v>
      </c>
    </row>
    <row r="16" ht="15.75" spans="1:2">
      <c r="A16" s="33" t="s">
        <v>16</v>
      </c>
      <c r="B16" s="37">
        <f>VLOOKUP($B$2,Scenarios!$A$2:$O$200,11,FALSE)</f>
        <v>7</v>
      </c>
    </row>
    <row r="17" ht="15.75" spans="1:2">
      <c r="A17" s="33" t="s">
        <v>17</v>
      </c>
      <c r="B17" s="37">
        <f>VLOOKUP($B$2,Scenarios!$A$2:$O$200,12,FALSE)</f>
        <v>1</v>
      </c>
    </row>
    <row r="18" ht="15.75" spans="1:2">
      <c r="A18" s="33" t="s">
        <v>18</v>
      </c>
      <c r="B18" s="37">
        <f>VLOOKUP($B$2,Scenarios!$A$2:$O$200,13,FALSE)</f>
        <v>1.1</v>
      </c>
    </row>
    <row r="19" ht="15.75" spans="1:2">
      <c r="A19" s="33" t="s">
        <v>19</v>
      </c>
      <c r="B19" s="37">
        <f>VLOOKUP($B$2,Scenarios!$A$2:$O$200,14,FALSE)</f>
        <v>5</v>
      </c>
    </row>
  </sheetData>
  <dataValidations count="1">
    <dataValidation type="list" allowBlank="1" showInputMessage="1" showErrorMessage="1" sqref="B2">
      <formula1>Scenarios!$A$2:$A$200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D9" sqref="D9"/>
    </sheetView>
  </sheetViews>
  <sheetFormatPr defaultColWidth="9" defaultRowHeight="14.25" outlineLevelRow="4"/>
  <cols>
    <col min="1" max="1" width="7.56637168141593" style="16" customWidth="1"/>
    <col min="2" max="2" width="16" style="16" customWidth="1"/>
    <col min="3" max="3" width="11.6283185840708" style="16" customWidth="1"/>
    <col min="4" max="4" width="12.0884955752212" style="24" customWidth="1"/>
    <col min="5" max="5" width="11.0884955752212" style="16" customWidth="1"/>
    <col min="6" max="6" width="12.6902654867257" style="24" customWidth="1"/>
    <col min="7" max="7" width="11.2300884955752" style="16" customWidth="1"/>
    <col min="8" max="8" width="12.2212389380531" style="24" customWidth="1"/>
    <col min="9" max="9" width="11.4247787610619" style="16" customWidth="1"/>
    <col min="10" max="10" width="8.57522123893805" style="16" customWidth="1"/>
    <col min="11" max="16384" width="9" style="16"/>
  </cols>
  <sheetData>
    <row r="1" spans="1:10">
      <c r="A1" s="30" t="s">
        <v>20</v>
      </c>
      <c r="B1" s="30" t="s">
        <v>21</v>
      </c>
      <c r="C1" s="30" t="s">
        <v>22</v>
      </c>
      <c r="D1" s="31" t="s">
        <v>23</v>
      </c>
      <c r="E1" s="30" t="s">
        <v>24</v>
      </c>
      <c r="F1" s="31" t="s">
        <v>25</v>
      </c>
      <c r="G1" s="30" t="s">
        <v>26</v>
      </c>
      <c r="H1" s="31" t="s">
        <v>27</v>
      </c>
      <c r="I1" s="30" t="s">
        <v>28</v>
      </c>
      <c r="J1" s="30" t="s">
        <v>29</v>
      </c>
    </row>
    <row r="2" spans="1:10">
      <c r="A2" s="19">
        <v>0</v>
      </c>
      <c r="B2" s="19" t="s">
        <v>30</v>
      </c>
      <c r="C2" s="19" t="s">
        <v>31</v>
      </c>
      <c r="D2" s="27">
        <v>3900</v>
      </c>
      <c r="E2" s="19">
        <v>2</v>
      </c>
      <c r="F2" s="27">
        <v>500</v>
      </c>
      <c r="G2" s="19">
        <v>6</v>
      </c>
      <c r="H2" s="27">
        <v>390</v>
      </c>
      <c r="I2" s="19">
        <v>5</v>
      </c>
      <c r="J2" s="19">
        <v>1</v>
      </c>
    </row>
    <row r="3" spans="1:10">
      <c r="A3" s="19">
        <v>1</v>
      </c>
      <c r="B3" s="19" t="s">
        <v>32</v>
      </c>
      <c r="C3" s="19" t="s">
        <v>33</v>
      </c>
      <c r="D3" s="27">
        <v>11900</v>
      </c>
      <c r="E3" s="19">
        <v>1</v>
      </c>
      <c r="F3" s="27">
        <v>500</v>
      </c>
      <c r="G3" s="19">
        <v>6</v>
      </c>
      <c r="H3" s="27">
        <v>1190</v>
      </c>
      <c r="I3" s="19">
        <v>5</v>
      </c>
      <c r="J3" s="19">
        <v>2</v>
      </c>
    </row>
    <row r="4" spans="1:10">
      <c r="A4" s="19">
        <v>0</v>
      </c>
      <c r="B4" s="19" t="s">
        <v>34</v>
      </c>
      <c r="C4" s="19" t="s">
        <v>33</v>
      </c>
      <c r="D4" s="27">
        <v>3900</v>
      </c>
      <c r="E4" s="19">
        <v>3</v>
      </c>
      <c r="F4" s="27">
        <v>500</v>
      </c>
      <c r="G4" s="19">
        <v>6</v>
      </c>
      <c r="H4" s="27">
        <v>390</v>
      </c>
      <c r="I4" s="19">
        <v>5</v>
      </c>
      <c r="J4" s="19">
        <v>5</v>
      </c>
    </row>
    <row r="5" spans="1:10">
      <c r="A5" s="19">
        <v>0</v>
      </c>
      <c r="B5" s="19" t="s">
        <v>35</v>
      </c>
      <c r="C5" s="19" t="s">
        <v>33</v>
      </c>
      <c r="D5" s="27">
        <v>119000</v>
      </c>
      <c r="E5" s="19">
        <v>0.6</v>
      </c>
      <c r="F5" s="27">
        <v>1500</v>
      </c>
      <c r="G5" s="19">
        <v>6</v>
      </c>
      <c r="H5" s="27">
        <v>1190</v>
      </c>
      <c r="I5" s="19">
        <v>5</v>
      </c>
      <c r="J5" s="19">
        <v>0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J2" sqref="J2"/>
    </sheetView>
  </sheetViews>
  <sheetFormatPr defaultColWidth="9" defaultRowHeight="14.25" outlineLevelRow="1"/>
  <cols>
    <col min="1" max="1" width="13.212389380531" style="16" customWidth="1"/>
    <col min="2" max="2" width="11.7522123893805" style="16" customWidth="1"/>
    <col min="3" max="3" width="17.7256637168142" style="24" customWidth="1"/>
    <col min="4" max="4" width="16.929203539823" style="24" customWidth="1"/>
    <col min="5" max="5" width="14.2743362831858" style="24" customWidth="1"/>
    <col min="6" max="6" width="12.6106194690265" style="24" customWidth="1"/>
    <col min="7" max="7" width="12.7522123893805" style="16" customWidth="1"/>
    <col min="8" max="8" width="11.0265486725664" style="16" customWidth="1"/>
    <col min="9" max="9" width="16.5929203539823" style="16" customWidth="1"/>
    <col min="10" max="10" width="14.4778761061947" style="24" customWidth="1"/>
    <col min="11" max="16384" width="9" style="16"/>
  </cols>
  <sheetData>
    <row r="1" spans="1:10">
      <c r="A1" s="25" t="s">
        <v>36</v>
      </c>
      <c r="B1" s="25" t="s">
        <v>37</v>
      </c>
      <c r="C1" s="26" t="s">
        <v>38</v>
      </c>
      <c r="D1" s="26" t="s">
        <v>39</v>
      </c>
      <c r="E1" s="26" t="s">
        <v>40</v>
      </c>
      <c r="F1" s="26" t="s">
        <v>41</v>
      </c>
      <c r="G1" s="25" t="s">
        <v>42</v>
      </c>
      <c r="H1" s="25" t="s">
        <v>43</v>
      </c>
      <c r="I1" s="25" t="s">
        <v>44</v>
      </c>
      <c r="J1" s="26" t="s">
        <v>45</v>
      </c>
    </row>
    <row r="2" spans="1:10">
      <c r="A2" s="19">
        <f>SUMPRODUCT(Devices!$A$2:$A$4,Devices!$J$2:$J$4,Devices!$E$2:$E$4)*Inputs!B17*Inputs!B16</f>
        <v>14</v>
      </c>
      <c r="B2" s="19" t="str">
        <f>IF(Summary!A2&gt;=Inputs!B10*Inputs!B18,"Yes","No")</f>
        <v>Yes</v>
      </c>
      <c r="C2" s="27">
        <f>Inputs!B10*Inputs!B11*Inputs!B12</f>
        <v>90000</v>
      </c>
      <c r="D2" s="27">
        <f>SUMPRODUCT(Devices!$A$2:$A$4,Devices!$J$2:$J$4,(Devices!$D$2:$D$4/Devices!$I$2:$I$4+12/Devices!$G$2:$G$4*Devices!$F$2:$F$4+Devices!$H$2:$H$4))</f>
        <v>9140</v>
      </c>
      <c r="E2" s="27">
        <f>Summary!C2-Summary!D2</f>
        <v>80860</v>
      </c>
      <c r="F2" s="27">
        <f>SUMPRODUCT(Devices!$A$2:$A$4,Devices!$J$2:$J$4,Devices!$D$2:$D$4)</f>
        <v>23800</v>
      </c>
      <c r="G2" s="19">
        <f>IFERROR(INDEX(Yearly!A2:A31,MATCH(TRUE,Yearly!G2:G31,0)),"N/A")</f>
        <v>1</v>
      </c>
      <c r="H2" s="28">
        <f>IFERROR((INDEX(Yearly!E2:E31,Inputs!B19)-Summary!F2)/Summary!F2,"N/A")</f>
        <v>15.9873949579832</v>
      </c>
      <c r="I2" s="29">
        <f>Inputs!B10*1000*8760*(Inputs!B15/100)</f>
        <v>14892000</v>
      </c>
      <c r="J2" s="27">
        <f>Summary!I2*Inputs!B14*(Inputs!B13/100)</f>
        <v>89352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F24" sqref="F24"/>
    </sheetView>
  </sheetViews>
  <sheetFormatPr defaultColWidth="9" defaultRowHeight="13.5"/>
  <cols>
    <col min="1" max="1" width="6.70796460176991" customWidth="1"/>
    <col min="2" max="2" width="12.1504424778761" style="21" customWidth="1"/>
    <col min="3" max="3" width="11.0265486725664" style="21" customWidth="1"/>
    <col min="4" max="4" width="13.0176991150442" style="21" customWidth="1"/>
    <col min="5" max="5" width="12.8849557522124" style="21" customWidth="1"/>
    <col min="6" max="6" width="11.8141592920354" style="21" customWidth="1"/>
    <col min="7" max="7" width="13.5486725663717" customWidth="1"/>
    <col min="8" max="8" width="13.6814159292035" style="21" customWidth="1"/>
  </cols>
  <sheetData>
    <row r="1" ht="14.25" spans="1:9">
      <c r="A1" s="22" t="s">
        <v>46</v>
      </c>
      <c r="B1" s="23" t="s">
        <v>47</v>
      </c>
      <c r="C1" s="23" t="s">
        <v>48</v>
      </c>
      <c r="D1" s="23" t="s">
        <v>49</v>
      </c>
      <c r="E1" s="23" t="s">
        <v>50</v>
      </c>
      <c r="F1" s="23" t="s">
        <v>41</v>
      </c>
      <c r="G1" s="22" t="s">
        <v>51</v>
      </c>
      <c r="H1" s="23" t="s">
        <v>52</v>
      </c>
    </row>
    <row r="2" ht="14.25" spans="1:9">
      <c r="A2" s="16">
        <f>IF(1&lt;=Inputs!B19,1,"")</f>
        <v>1</v>
      </c>
      <c r="B2" s="24">
        <f>IF($A2&lt;&gt;"",Summary!C2,"")</f>
        <v>90000</v>
      </c>
      <c r="C2" s="24">
        <f>IF($A2&lt;&gt;"",Summary!D2,"")</f>
        <v>9140</v>
      </c>
      <c r="D2" s="24">
        <f t="shared" ref="D2:D31" si="0">IF($A2&lt;&gt;"",B2-C2,"")</f>
        <v>80860</v>
      </c>
      <c r="E2" s="24">
        <f>IF($A2&lt;&gt;"",D2,"")</f>
        <v>80860</v>
      </c>
      <c r="F2" s="24">
        <f>IF($A2&lt;&gt;"",Summary!F2,"")</f>
        <v>23800</v>
      </c>
      <c r="G2" s="16" t="b">
        <f t="shared" ref="G2:G31" si="1">IF($A2&lt;&gt;"",E2&gt;=F2,"")</f>
        <v>1</v>
      </c>
      <c r="H2" s="24">
        <f>IF($A2&lt;&gt;"",E2+Summary!J2*A2,"")</f>
        <v>170212</v>
      </c>
    </row>
    <row r="3" ht="14.25" spans="1:9">
      <c r="A3" s="16">
        <f>IF(2&lt;=Inputs!B19,2,"")</f>
        <v>2</v>
      </c>
      <c r="B3" s="24">
        <f>IF($A3&lt;&gt;"",Summary!C2,"")</f>
        <v>90000</v>
      </c>
      <c r="C3" s="24">
        <f>IF($A3&lt;&gt;"",Summary!D2,"")</f>
        <v>9140</v>
      </c>
      <c r="D3" s="24">
        <f t="shared" si="0"/>
        <v>80860</v>
      </c>
      <c r="E3" s="24">
        <f t="shared" ref="E3:E31" si="2">IF($A3&lt;&gt;"",E2+D3,"")</f>
        <v>161720</v>
      </c>
      <c r="F3" s="24">
        <f>IF($A3&lt;&gt;"",Summary!F2,"")</f>
        <v>23800</v>
      </c>
      <c r="G3" s="16" t="b">
        <f t="shared" si="1"/>
        <v>1</v>
      </c>
      <c r="H3" s="24">
        <f>IF($A3&lt;&gt;"",E3+Summary!J2*A3,"")</f>
        <v>340424</v>
      </c>
    </row>
    <row r="4" ht="14.25" spans="1:9">
      <c r="A4" s="16">
        <f>IF(3&lt;=Inputs!B19,3,"")</f>
        <v>3</v>
      </c>
      <c r="B4" s="24">
        <f>IF($A4&lt;&gt;"",Summary!C2,"")</f>
        <v>90000</v>
      </c>
      <c r="C4" s="24">
        <f>IF($A4&lt;&gt;"",Summary!D2,"")</f>
        <v>9140</v>
      </c>
      <c r="D4" s="24">
        <f t="shared" si="0"/>
        <v>80860</v>
      </c>
      <c r="E4" s="24">
        <f t="shared" si="2"/>
        <v>242580</v>
      </c>
      <c r="F4" s="24">
        <f>IF($A4&lt;&gt;"",Summary!F2,"")</f>
        <v>23800</v>
      </c>
      <c r="G4" s="16" t="b">
        <f t="shared" si="1"/>
        <v>1</v>
      </c>
      <c r="H4" s="24">
        <f>IF($A4&lt;&gt;"",E4+Summary!J2*A4,"")</f>
        <v>510636</v>
      </c>
    </row>
    <row r="5" ht="14.25" spans="1:9">
      <c r="A5" s="16">
        <f>IF(4&lt;=Inputs!B19,4,"")</f>
        <v>4</v>
      </c>
      <c r="B5" s="24">
        <f>IF($A5&lt;&gt;"",Summary!C2,"")</f>
        <v>90000</v>
      </c>
      <c r="C5" s="24">
        <f>IF($A5&lt;&gt;"",Summary!D2,"")</f>
        <v>9140</v>
      </c>
      <c r="D5" s="24">
        <f t="shared" si="0"/>
        <v>80860</v>
      </c>
      <c r="E5" s="24">
        <f t="shared" si="2"/>
        <v>323440</v>
      </c>
      <c r="F5" s="24">
        <f>IF($A5&lt;&gt;"",Summary!F2,"")</f>
        <v>23800</v>
      </c>
      <c r="G5" s="16" t="b">
        <f t="shared" si="1"/>
        <v>1</v>
      </c>
      <c r="H5" s="24">
        <f>IF($A5&lt;&gt;"",E5+Summary!J2*A5,"")</f>
        <v>680848</v>
      </c>
    </row>
    <row r="6" ht="14.25" spans="1:9">
      <c r="A6" s="16">
        <f>IF(5&lt;=Inputs!B19,5,"")</f>
        <v>5</v>
      </c>
      <c r="B6" s="24">
        <f>IF($A6&lt;&gt;"",Summary!C2,"")</f>
        <v>90000</v>
      </c>
      <c r="C6" s="24">
        <f>IF($A6&lt;&gt;"",Summary!D2,"")</f>
        <v>9140</v>
      </c>
      <c r="D6" s="24">
        <f t="shared" si="0"/>
        <v>80860</v>
      </c>
      <c r="E6" s="24">
        <f t="shared" si="2"/>
        <v>404300</v>
      </c>
      <c r="F6" s="24">
        <f>IF($A6&lt;&gt;"",Summary!F2,"")</f>
        <v>23800</v>
      </c>
      <c r="G6" s="16" t="b">
        <f t="shared" si="1"/>
        <v>1</v>
      </c>
      <c r="H6" s="24">
        <f>IF($A6&lt;&gt;"",E6+Summary!J2*A6,"")</f>
        <v>851060</v>
      </c>
    </row>
    <row r="7" ht="14.25" spans="1:9">
      <c r="A7" s="16" t="str">
        <f>IF(6&lt;=Inputs!B19,6,"")</f>
        <v/>
      </c>
      <c r="B7" s="24" t="str">
        <f>IF($A7&lt;&gt;"",Summary!C2,"")</f>
        <v/>
      </c>
      <c r="C7" s="24" t="str">
        <f>IF($A7&lt;&gt;"",Summary!D2,"")</f>
        <v/>
      </c>
      <c r="D7" s="24" t="str">
        <f t="shared" si="0"/>
        <v/>
      </c>
      <c r="E7" s="24" t="str">
        <f t="shared" si="2"/>
        <v/>
      </c>
      <c r="F7" s="24" t="str">
        <f>IF($A7&lt;&gt;"",Summary!F2,"")</f>
        <v/>
      </c>
      <c r="G7" s="16" t="str">
        <f t="shared" si="1"/>
        <v/>
      </c>
      <c r="H7" s="24" t="str">
        <f>IF($A7&lt;&gt;"",E7+Summary!J2*A7,"")</f>
        <v/>
      </c>
    </row>
    <row r="8" ht="14.25" spans="1:9">
      <c r="A8" s="16" t="str">
        <f>IF(7&lt;=Inputs!B19,7,"")</f>
        <v/>
      </c>
      <c r="B8" s="24" t="str">
        <f>IF($A8&lt;&gt;"",Summary!C2,"")</f>
        <v/>
      </c>
      <c r="C8" s="24" t="str">
        <f>IF($A8&lt;&gt;"",Summary!D2,"")</f>
        <v/>
      </c>
      <c r="D8" s="24" t="str">
        <f t="shared" si="0"/>
        <v/>
      </c>
      <c r="E8" s="24" t="str">
        <f t="shared" si="2"/>
        <v/>
      </c>
      <c r="F8" s="24" t="str">
        <f>IF($A8&lt;&gt;"",Summary!F2,"")</f>
        <v/>
      </c>
      <c r="G8" s="16" t="str">
        <f t="shared" si="1"/>
        <v/>
      </c>
      <c r="H8" s="24" t="str">
        <f>IF($A8&lt;&gt;"",E8+Summary!J2*A8,"")</f>
        <v/>
      </c>
    </row>
    <row r="9" ht="14.25" spans="1:9">
      <c r="A9" s="16" t="str">
        <f>IF(8&lt;=Inputs!B19,8,"")</f>
        <v/>
      </c>
      <c r="B9" s="24" t="str">
        <f>IF($A9&lt;&gt;"",Summary!C2,"")</f>
        <v/>
      </c>
      <c r="C9" s="24" t="str">
        <f>IF($A9&lt;&gt;"",Summary!D2,"")</f>
        <v/>
      </c>
      <c r="D9" s="24" t="str">
        <f t="shared" si="0"/>
        <v/>
      </c>
      <c r="E9" s="24" t="str">
        <f t="shared" si="2"/>
        <v/>
      </c>
      <c r="F9" s="24" t="str">
        <f>IF($A9&lt;&gt;"",Summary!F2,"")</f>
        <v/>
      </c>
      <c r="G9" s="16" t="str">
        <f t="shared" si="1"/>
        <v/>
      </c>
      <c r="H9" s="24" t="str">
        <f>IF($A9&lt;&gt;"",E9+Summary!J2*A9,"")</f>
        <v/>
      </c>
    </row>
    <row r="10" ht="14.25" spans="1:9">
      <c r="A10" s="16" t="str">
        <f>IF(9&lt;=Inputs!B19,9,"")</f>
        <v/>
      </c>
      <c r="B10" s="24" t="str">
        <f>IF($A10&lt;&gt;"",Summary!C2,"")</f>
        <v/>
      </c>
      <c r="C10" s="24" t="str">
        <f>IF($A10&lt;&gt;"",Summary!D2,"")</f>
        <v/>
      </c>
      <c r="D10" s="24" t="str">
        <f t="shared" si="0"/>
        <v/>
      </c>
      <c r="E10" s="24" t="str">
        <f t="shared" si="2"/>
        <v/>
      </c>
      <c r="F10" s="24" t="str">
        <f>IF($A10&lt;&gt;"",Summary!F2,"")</f>
        <v/>
      </c>
      <c r="G10" s="16" t="str">
        <f t="shared" si="1"/>
        <v/>
      </c>
      <c r="H10" s="24" t="str">
        <f>IF($A10&lt;&gt;"",E10+Summary!J2*A10,"")</f>
        <v/>
      </c>
      <c r="I10" s="16"/>
    </row>
    <row r="11" ht="14.25" spans="1:9">
      <c r="A11" s="16" t="str">
        <f>IF(10&lt;=Inputs!B19,10,"")</f>
        <v/>
      </c>
      <c r="B11" s="24" t="str">
        <f>IF($A11&lt;&gt;"",Summary!C2,"")</f>
        <v/>
      </c>
      <c r="C11" s="24" t="str">
        <f>IF($A11&lt;&gt;"",Summary!D2,"")</f>
        <v/>
      </c>
      <c r="D11" s="24" t="str">
        <f t="shared" si="0"/>
        <v/>
      </c>
      <c r="E11" s="24" t="str">
        <f t="shared" si="2"/>
        <v/>
      </c>
      <c r="F11" s="24" t="str">
        <f>IF($A11&lt;&gt;"",Summary!F2,"")</f>
        <v/>
      </c>
      <c r="G11" s="16" t="str">
        <f t="shared" si="1"/>
        <v/>
      </c>
      <c r="H11" s="24" t="str">
        <f>IF($A11&lt;&gt;"",E11+Summary!J2*A11,"")</f>
        <v/>
      </c>
    </row>
    <row r="12" ht="14.25" spans="1:9">
      <c r="A12" s="16" t="str">
        <f>IF(11&lt;=Inputs!B19,11,"")</f>
        <v/>
      </c>
      <c r="B12" s="24" t="str">
        <f>IF($A12&lt;&gt;"",Summary!C2,"")</f>
        <v/>
      </c>
      <c r="C12" s="24" t="str">
        <f>IF($A12&lt;&gt;"",Summary!D2,"")</f>
        <v/>
      </c>
      <c r="D12" s="24" t="str">
        <f t="shared" si="0"/>
        <v/>
      </c>
      <c r="E12" s="24" t="str">
        <f t="shared" si="2"/>
        <v/>
      </c>
      <c r="F12" s="24" t="str">
        <f>IF($A12&lt;&gt;"",Summary!F2,"")</f>
        <v/>
      </c>
      <c r="G12" s="16" t="str">
        <f t="shared" si="1"/>
        <v/>
      </c>
      <c r="H12" s="24" t="str">
        <f>IF($A12&lt;&gt;"",E12+Summary!J2*A12,"")</f>
        <v/>
      </c>
    </row>
    <row r="13" ht="14.25" spans="1:9">
      <c r="A13" s="16" t="str">
        <f>IF(12&lt;=Inputs!B19,12,"")</f>
        <v/>
      </c>
      <c r="B13" s="24" t="str">
        <f>IF($A13&lt;&gt;"",Summary!C2,"")</f>
        <v/>
      </c>
      <c r="C13" s="24" t="str">
        <f>IF($A13&lt;&gt;"",Summary!D2,"")</f>
        <v/>
      </c>
      <c r="D13" s="24" t="str">
        <f t="shared" si="0"/>
        <v/>
      </c>
      <c r="E13" s="24" t="str">
        <f t="shared" si="2"/>
        <v/>
      </c>
      <c r="F13" s="24" t="str">
        <f>IF($A13&lt;&gt;"",Summary!F2,"")</f>
        <v/>
      </c>
      <c r="G13" s="16" t="str">
        <f t="shared" si="1"/>
        <v/>
      </c>
      <c r="H13" s="24" t="str">
        <f>IF($A13&lt;&gt;"",E13+Summary!J2*A13,"")</f>
        <v/>
      </c>
    </row>
    <row r="14" ht="14.25" spans="1:9">
      <c r="A14" s="16" t="str">
        <f>IF(13&lt;=Inputs!B19,13,"")</f>
        <v/>
      </c>
      <c r="B14" s="24" t="str">
        <f>IF($A14&lt;&gt;"",Summary!C2,"")</f>
        <v/>
      </c>
      <c r="C14" s="24" t="str">
        <f>IF($A14&lt;&gt;"",Summary!D2,"")</f>
        <v/>
      </c>
      <c r="D14" s="24" t="str">
        <f t="shared" si="0"/>
        <v/>
      </c>
      <c r="E14" s="24" t="str">
        <f t="shared" si="2"/>
        <v/>
      </c>
      <c r="F14" s="24" t="str">
        <f>IF($A14&lt;&gt;"",Summary!F2,"")</f>
        <v/>
      </c>
      <c r="G14" s="16" t="str">
        <f t="shared" si="1"/>
        <v/>
      </c>
      <c r="H14" s="24" t="str">
        <f>IF($A14&lt;&gt;"",E14+Summary!J2*A14,"")</f>
        <v/>
      </c>
    </row>
    <row r="15" ht="14.25" spans="1:9">
      <c r="A15" s="16" t="str">
        <f>IF(14&lt;=Inputs!B19,14,"")</f>
        <v/>
      </c>
      <c r="B15" s="24" t="str">
        <f>IF($A15&lt;&gt;"",Summary!C2,"")</f>
        <v/>
      </c>
      <c r="C15" s="24" t="str">
        <f>IF($A15&lt;&gt;"",Summary!D2,"")</f>
        <v/>
      </c>
      <c r="D15" s="24" t="str">
        <f t="shared" si="0"/>
        <v/>
      </c>
      <c r="E15" s="24" t="str">
        <f t="shared" si="2"/>
        <v/>
      </c>
      <c r="F15" s="24" t="str">
        <f>IF($A15&lt;&gt;"",Summary!F2,"")</f>
        <v/>
      </c>
      <c r="G15" s="16" t="str">
        <f t="shared" si="1"/>
        <v/>
      </c>
      <c r="H15" s="24" t="str">
        <f>IF($A15&lt;&gt;"",E15+Summary!J2*A15,"")</f>
        <v/>
      </c>
    </row>
    <row r="16" ht="14.25" spans="1:9">
      <c r="A16" s="16" t="str">
        <f>IF(15&lt;=Inputs!B19,15,"")</f>
        <v/>
      </c>
      <c r="B16" s="24" t="str">
        <f>IF($A16&lt;&gt;"",Summary!C2,"")</f>
        <v/>
      </c>
      <c r="C16" s="24" t="str">
        <f>IF($A16&lt;&gt;"",Summary!D2,"")</f>
        <v/>
      </c>
      <c r="D16" s="24" t="str">
        <f t="shared" si="0"/>
        <v/>
      </c>
      <c r="E16" s="24" t="str">
        <f t="shared" si="2"/>
        <v/>
      </c>
      <c r="F16" s="24" t="str">
        <f>IF($A16&lt;&gt;"",Summary!F2,"")</f>
        <v/>
      </c>
      <c r="G16" s="16" t="str">
        <f t="shared" si="1"/>
        <v/>
      </c>
      <c r="H16" s="24" t="str">
        <f>IF($A16&lt;&gt;"",E16+Summary!J2*A16,"")</f>
        <v/>
      </c>
    </row>
    <row r="17" ht="14.25" spans="1:8">
      <c r="A17" s="16" t="str">
        <f>IF(16&lt;=Inputs!B19,16,"")</f>
        <v/>
      </c>
      <c r="B17" s="24" t="str">
        <f>IF($A17&lt;&gt;"",Summary!C2,"")</f>
        <v/>
      </c>
      <c r="C17" s="24" t="str">
        <f>IF($A17&lt;&gt;"",Summary!D2,"")</f>
        <v/>
      </c>
      <c r="D17" s="24" t="str">
        <f t="shared" si="0"/>
        <v/>
      </c>
      <c r="E17" s="24" t="str">
        <f t="shared" si="2"/>
        <v/>
      </c>
      <c r="F17" s="24" t="str">
        <f>IF($A17&lt;&gt;"",Summary!F2,"")</f>
        <v/>
      </c>
      <c r="G17" s="16" t="str">
        <f t="shared" si="1"/>
        <v/>
      </c>
      <c r="H17" s="24" t="str">
        <f>IF($A17&lt;&gt;"",E17+Summary!J2*A17,"")</f>
        <v/>
      </c>
    </row>
    <row r="18" ht="14.25" spans="1:8">
      <c r="A18" s="16" t="str">
        <f>IF(17&lt;=Inputs!B19,17,"")</f>
        <v/>
      </c>
      <c r="B18" s="24" t="str">
        <f>IF($A18&lt;&gt;"",Summary!C2,"")</f>
        <v/>
      </c>
      <c r="C18" s="24" t="str">
        <f>IF($A18&lt;&gt;"",Summary!D2,"")</f>
        <v/>
      </c>
      <c r="D18" s="24" t="str">
        <f t="shared" si="0"/>
        <v/>
      </c>
      <c r="E18" s="24" t="str">
        <f t="shared" si="2"/>
        <v/>
      </c>
      <c r="F18" s="24" t="str">
        <f>IF($A18&lt;&gt;"",Summary!F2,"")</f>
        <v/>
      </c>
      <c r="G18" s="16" t="str">
        <f t="shared" si="1"/>
        <v/>
      </c>
      <c r="H18" s="24" t="str">
        <f>IF($A18&lt;&gt;"",E18+Summary!J2*A18,"")</f>
        <v/>
      </c>
    </row>
    <row r="19" ht="14.25" spans="1:8">
      <c r="A19" s="16" t="str">
        <f>IF(18&lt;=Inputs!B19,18,"")</f>
        <v/>
      </c>
      <c r="B19" s="24" t="str">
        <f>IF($A19&lt;&gt;"",Summary!C2,"")</f>
        <v/>
      </c>
      <c r="C19" s="24" t="str">
        <f>IF($A19&lt;&gt;"",Summary!D2,"")</f>
        <v/>
      </c>
      <c r="D19" s="24" t="str">
        <f t="shared" si="0"/>
        <v/>
      </c>
      <c r="E19" s="24" t="str">
        <f t="shared" si="2"/>
        <v/>
      </c>
      <c r="F19" s="24" t="str">
        <f>IF($A19&lt;&gt;"",Summary!F2,"")</f>
        <v/>
      </c>
      <c r="G19" s="16" t="str">
        <f t="shared" si="1"/>
        <v/>
      </c>
      <c r="H19" s="24" t="str">
        <f>IF($A19&lt;&gt;"",E19+Summary!J2*A19,"")</f>
        <v/>
      </c>
    </row>
    <row r="20" ht="14.25" spans="1:8">
      <c r="A20" s="16" t="str">
        <f>IF(19&lt;=Inputs!B19,19,"")</f>
        <v/>
      </c>
      <c r="B20" s="24" t="str">
        <f>IF($A20&lt;&gt;"",Summary!C2,"")</f>
        <v/>
      </c>
      <c r="C20" s="24" t="str">
        <f>IF($A20&lt;&gt;"",Summary!D2,"")</f>
        <v/>
      </c>
      <c r="D20" s="24" t="str">
        <f t="shared" si="0"/>
        <v/>
      </c>
      <c r="E20" s="24" t="str">
        <f t="shared" si="2"/>
        <v/>
      </c>
      <c r="F20" s="24" t="str">
        <f>IF($A20&lt;&gt;"",Summary!F2,"")</f>
        <v/>
      </c>
      <c r="G20" s="16" t="str">
        <f t="shared" si="1"/>
        <v/>
      </c>
      <c r="H20" s="24" t="str">
        <f>IF($A20&lt;&gt;"",E20+Summary!J2*A20,"")</f>
        <v/>
      </c>
    </row>
    <row r="21" ht="14.25" spans="1:8">
      <c r="A21" s="16" t="str">
        <f>IF(20&lt;=Inputs!B19,20,"")</f>
        <v/>
      </c>
      <c r="B21" s="24" t="str">
        <f>IF($A21&lt;&gt;"",Summary!C2,"")</f>
        <v/>
      </c>
      <c r="C21" s="24" t="str">
        <f>IF($A21&lt;&gt;"",Summary!D2,"")</f>
        <v/>
      </c>
      <c r="D21" s="24" t="str">
        <f t="shared" si="0"/>
        <v/>
      </c>
      <c r="E21" s="24" t="str">
        <f t="shared" si="2"/>
        <v/>
      </c>
      <c r="F21" s="24" t="str">
        <f>IF($A21&lt;&gt;"",Summary!F2,"")</f>
        <v/>
      </c>
      <c r="G21" s="16" t="str">
        <f t="shared" si="1"/>
        <v/>
      </c>
      <c r="H21" s="24" t="str">
        <f>IF($A21&lt;&gt;"",E21+Summary!J2*A21,"")</f>
        <v/>
      </c>
    </row>
    <row r="22" ht="14.25" spans="1:8">
      <c r="A22" s="16" t="str">
        <f>IF(21&lt;=Inputs!B19,21,"")</f>
        <v/>
      </c>
      <c r="B22" s="24" t="str">
        <f>IF($A22&lt;&gt;"",Summary!C2,"")</f>
        <v/>
      </c>
      <c r="C22" s="24" t="str">
        <f>IF($A22&lt;&gt;"",Summary!D2,"")</f>
        <v/>
      </c>
      <c r="D22" s="24" t="str">
        <f t="shared" si="0"/>
        <v/>
      </c>
      <c r="E22" s="24" t="str">
        <f t="shared" si="2"/>
        <v/>
      </c>
      <c r="F22" s="24" t="str">
        <f>IF($A22&lt;&gt;"",Summary!F2,"")</f>
        <v/>
      </c>
      <c r="G22" s="16" t="str">
        <f t="shared" si="1"/>
        <v/>
      </c>
      <c r="H22" s="24" t="str">
        <f>IF($A22&lt;&gt;"",E22+Summary!J2*A22,"")</f>
        <v/>
      </c>
    </row>
    <row r="23" ht="14.25" spans="1:8">
      <c r="A23" s="16" t="str">
        <f>IF(22&lt;=Inputs!B19,22,"")</f>
        <v/>
      </c>
      <c r="B23" s="24" t="str">
        <f>IF($A23&lt;&gt;"",Summary!C2,"")</f>
        <v/>
      </c>
      <c r="C23" s="24" t="str">
        <f>IF($A23&lt;&gt;"",Summary!D2,"")</f>
        <v/>
      </c>
      <c r="D23" s="24" t="str">
        <f t="shared" si="0"/>
        <v/>
      </c>
      <c r="E23" s="24" t="str">
        <f t="shared" si="2"/>
        <v/>
      </c>
      <c r="F23" s="24" t="str">
        <f>IF($A23&lt;&gt;"",Summary!F2,"")</f>
        <v/>
      </c>
      <c r="G23" s="16" t="str">
        <f t="shared" si="1"/>
        <v/>
      </c>
      <c r="H23" s="24" t="str">
        <f>IF($A23&lt;&gt;"",E23+Summary!J2*A23,"")</f>
        <v/>
      </c>
    </row>
    <row r="24" ht="14.25" spans="1:8">
      <c r="A24" s="16" t="str">
        <f>IF(23&lt;=Inputs!B19,23,"")</f>
        <v/>
      </c>
      <c r="B24" s="24" t="str">
        <f>IF($A24&lt;&gt;"",Summary!C2,"")</f>
        <v/>
      </c>
      <c r="C24" s="24" t="str">
        <f>IF($A24&lt;&gt;"",Summary!D2,"")</f>
        <v/>
      </c>
      <c r="D24" s="24" t="str">
        <f t="shared" si="0"/>
        <v/>
      </c>
      <c r="E24" s="24" t="str">
        <f t="shared" si="2"/>
        <v/>
      </c>
      <c r="F24" s="24" t="str">
        <f>IF($A24&lt;&gt;"",Summary!F2,"")</f>
        <v/>
      </c>
      <c r="G24" s="16" t="str">
        <f t="shared" si="1"/>
        <v/>
      </c>
      <c r="H24" s="24" t="str">
        <f>IF($A24&lt;&gt;"",E24+Summary!J2*A24,"")</f>
        <v/>
      </c>
    </row>
    <row r="25" ht="14.25" spans="1:8">
      <c r="A25" s="16" t="str">
        <f>IF(24&lt;=Inputs!B19,24,"")</f>
        <v/>
      </c>
      <c r="B25" s="24" t="str">
        <f>IF($A25&lt;&gt;"",Summary!C2,"")</f>
        <v/>
      </c>
      <c r="C25" s="24" t="str">
        <f>IF($A25&lt;&gt;"",Summary!D2,"")</f>
        <v/>
      </c>
      <c r="D25" s="24" t="str">
        <f t="shared" si="0"/>
        <v/>
      </c>
      <c r="E25" s="24" t="str">
        <f t="shared" si="2"/>
        <v/>
      </c>
      <c r="F25" s="24" t="str">
        <f>IF($A25&lt;&gt;"",Summary!F2,"")</f>
        <v/>
      </c>
      <c r="G25" s="16" t="str">
        <f t="shared" si="1"/>
        <v/>
      </c>
      <c r="H25" s="24" t="str">
        <f>IF($A25&lt;&gt;"",E25+Summary!J2*A25,"")</f>
        <v/>
      </c>
    </row>
    <row r="26" ht="14.25" spans="1:8">
      <c r="A26" s="16" t="str">
        <f>IF(25&lt;=Inputs!B19,25,"")</f>
        <v/>
      </c>
      <c r="B26" s="24" t="str">
        <f>IF($A26&lt;&gt;"",Summary!C2,"")</f>
        <v/>
      </c>
      <c r="C26" s="24" t="str">
        <f>IF($A26&lt;&gt;"",Summary!D2,"")</f>
        <v/>
      </c>
      <c r="D26" s="24" t="str">
        <f t="shared" si="0"/>
        <v/>
      </c>
      <c r="E26" s="24" t="str">
        <f t="shared" si="2"/>
        <v/>
      </c>
      <c r="F26" s="24" t="str">
        <f>IF($A26&lt;&gt;"",Summary!F2,"")</f>
        <v/>
      </c>
      <c r="G26" s="16" t="str">
        <f t="shared" si="1"/>
        <v/>
      </c>
      <c r="H26" s="24" t="str">
        <f>IF($A26&lt;&gt;"",E26+Summary!J2*A26,"")</f>
        <v/>
      </c>
    </row>
    <row r="27" ht="14.25" spans="1:8">
      <c r="A27" s="16" t="str">
        <f>IF(26&lt;=Inputs!B19,26,"")</f>
        <v/>
      </c>
      <c r="B27" s="24" t="str">
        <f>IF($A27&lt;&gt;"",Summary!C2,"")</f>
        <v/>
      </c>
      <c r="C27" s="24" t="str">
        <f>IF($A27&lt;&gt;"",Summary!D2,"")</f>
        <v/>
      </c>
      <c r="D27" s="24" t="str">
        <f t="shared" si="0"/>
        <v/>
      </c>
      <c r="E27" s="24" t="str">
        <f t="shared" si="2"/>
        <v/>
      </c>
      <c r="F27" s="24" t="str">
        <f>IF($A27&lt;&gt;"",Summary!F2,"")</f>
        <v/>
      </c>
      <c r="G27" s="16" t="str">
        <f t="shared" si="1"/>
        <v/>
      </c>
      <c r="H27" s="24" t="str">
        <f>IF($A27&lt;&gt;"",E27+Summary!J2*A27,"")</f>
        <v/>
      </c>
    </row>
    <row r="28" ht="14.25" spans="1:8">
      <c r="A28" s="16" t="str">
        <f>IF(27&lt;=Inputs!B19,27,"")</f>
        <v/>
      </c>
      <c r="B28" s="24" t="str">
        <f>IF($A28&lt;&gt;"",Summary!C2,"")</f>
        <v/>
      </c>
      <c r="C28" s="24" t="str">
        <f>IF($A28&lt;&gt;"",Summary!D2,"")</f>
        <v/>
      </c>
      <c r="D28" s="24" t="str">
        <f t="shared" si="0"/>
        <v/>
      </c>
      <c r="E28" s="24" t="str">
        <f t="shared" si="2"/>
        <v/>
      </c>
      <c r="F28" s="24" t="str">
        <f>IF($A28&lt;&gt;"",Summary!F2,"")</f>
        <v/>
      </c>
      <c r="G28" s="16" t="str">
        <f t="shared" si="1"/>
        <v/>
      </c>
      <c r="H28" s="24" t="str">
        <f>IF($A28&lt;&gt;"",E28+Summary!J2*A28,"")</f>
        <v/>
      </c>
    </row>
    <row r="29" ht="14.25" spans="1:8">
      <c r="A29" s="16" t="str">
        <f>IF(28&lt;=Inputs!B19,28,"")</f>
        <v/>
      </c>
      <c r="B29" s="24" t="str">
        <f>IF($A29&lt;&gt;"",Summary!C2,"")</f>
        <v/>
      </c>
      <c r="C29" s="24" t="str">
        <f>IF($A29&lt;&gt;"",Summary!D2,"")</f>
        <v/>
      </c>
      <c r="D29" s="24" t="str">
        <f t="shared" si="0"/>
        <v/>
      </c>
      <c r="E29" s="24" t="str">
        <f t="shared" si="2"/>
        <v/>
      </c>
      <c r="F29" s="24" t="str">
        <f>IF($A29&lt;&gt;"",Summary!F2,"")</f>
        <v/>
      </c>
      <c r="G29" s="16" t="str">
        <f t="shared" si="1"/>
        <v/>
      </c>
      <c r="H29" s="24" t="str">
        <f>IF($A29&lt;&gt;"",E29+Summary!J2*A29,"")</f>
        <v/>
      </c>
    </row>
    <row r="30" ht="14.25" spans="1:8">
      <c r="A30" s="16" t="str">
        <f>IF(29&lt;=Inputs!B19,29,"")</f>
        <v/>
      </c>
      <c r="B30" s="24" t="str">
        <f>IF($A30&lt;&gt;"",Summary!C2,"")</f>
        <v/>
      </c>
      <c r="C30" s="24" t="str">
        <f>IF($A30&lt;&gt;"",Summary!D2,"")</f>
        <v/>
      </c>
      <c r="D30" s="24" t="str">
        <f t="shared" si="0"/>
        <v/>
      </c>
      <c r="E30" s="24" t="str">
        <f t="shared" si="2"/>
        <v/>
      </c>
      <c r="F30" s="24" t="str">
        <f>IF($A30&lt;&gt;"",Summary!F2,"")</f>
        <v/>
      </c>
      <c r="G30" s="16" t="str">
        <f t="shared" si="1"/>
        <v/>
      </c>
      <c r="H30" s="24" t="str">
        <f>IF($A30&lt;&gt;"",E30+Summary!J2*A30,"")</f>
        <v/>
      </c>
    </row>
    <row r="31" ht="14.25" spans="1:8">
      <c r="A31" s="16" t="str">
        <f>IF(30&lt;=Inputs!B19,30,"")</f>
        <v/>
      </c>
      <c r="B31" s="24" t="str">
        <f>IF($A31&lt;&gt;"",Summary!C2,"")</f>
        <v/>
      </c>
      <c r="C31" s="24" t="str">
        <f>IF($A31&lt;&gt;"",Summary!D2,"")</f>
        <v/>
      </c>
      <c r="D31" s="24" t="str">
        <f t="shared" si="0"/>
        <v/>
      </c>
      <c r="E31" s="24" t="str">
        <f t="shared" si="2"/>
        <v/>
      </c>
      <c r="F31" s="24" t="str">
        <f>IF($A31&lt;&gt;"",Summary!F2,"")</f>
        <v/>
      </c>
      <c r="G31" s="16" t="str">
        <f t="shared" si="1"/>
        <v/>
      </c>
      <c r="H31" s="24" t="str">
        <f>IF($A31&lt;&gt;"",E31+Summary!J2*A31,"")</f>
        <v/>
      </c>
    </row>
  </sheetData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N22" sqref="N22"/>
    </sheetView>
  </sheetViews>
  <sheetFormatPr defaultColWidth="9" defaultRowHeight="14.25"/>
  <cols>
    <col min="1" max="16384" width="9" style="16"/>
  </cols>
  <sheetData>
    <row r="1" spans="1:10">
      <c r="A1" s="20" t="s">
        <v>53</v>
      </c>
    </row>
    <row r="3" spans="1:10">
      <c r="A3" s="16"/>
      <c r="J3" s="16"/>
    </row>
    <row r="20" spans="1:1">
      <c r="A20" s="16"/>
    </row>
  </sheetData>
  <pageMargins left="0.7" right="0.7" top="0.75" bottom="0.75" header="0.3" footer="0.3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zoomScale="85" zoomScaleNormal="85" workbookViewId="0">
      <selection activeCell="L1" sqref="L1"/>
    </sheetView>
  </sheetViews>
  <sheetFormatPr defaultColWidth="9" defaultRowHeight="14.25" outlineLevelRow="3"/>
  <cols>
    <col min="1" max="1" width="9.16814159292035" style="16" customWidth="1"/>
    <col min="2" max="2" width="26.1504424778761" style="16" customWidth="1"/>
    <col min="3" max="3" width="12.2920353982301" style="16" customWidth="1"/>
    <col min="4" max="4" width="11.4247787610619" style="16" customWidth="1"/>
    <col min="5" max="5" width="7.30973451327434" style="16" customWidth="1"/>
    <col min="6" max="6" width="7.0353982300885" style="16" customWidth="1"/>
    <col min="7" max="7" width="8.90265486725664" style="16" customWidth="1"/>
    <col min="8" max="8" width="9.23008849557522" style="16" customWidth="1"/>
    <col min="9" max="9" width="10.0973451327434" style="16" customWidth="1"/>
    <col min="10" max="10" width="9.43362831858407" style="16" customWidth="1"/>
    <col min="11" max="11" width="8.3716814159292" style="16" customWidth="1"/>
    <col min="12" max="12" width="8.03539823008849" style="16" customWidth="1"/>
    <col min="13" max="13" width="12.0265486725664" style="16" customWidth="1"/>
    <col min="14" max="14" width="9.83185840707965" style="16" customWidth="1"/>
    <col min="15" max="15" width="28.283185840708" style="16" customWidth="1"/>
    <col min="16" max="16384" width="9" style="16"/>
  </cols>
  <sheetData>
    <row r="1" spans="1:15">
      <c r="A1" s="18" t="s">
        <v>54</v>
      </c>
      <c r="B1" s="18" t="s">
        <v>55</v>
      </c>
      <c r="C1" s="18" t="s">
        <v>56</v>
      </c>
      <c r="D1" s="18" t="s">
        <v>57</v>
      </c>
      <c r="E1" s="18" t="s">
        <v>58</v>
      </c>
      <c r="F1" s="18" t="s">
        <v>59</v>
      </c>
      <c r="G1" s="18" t="s">
        <v>47</v>
      </c>
      <c r="H1" s="18" t="s">
        <v>60</v>
      </c>
      <c r="I1" s="18" t="s">
        <v>61</v>
      </c>
      <c r="J1" s="18" t="s">
        <v>62</v>
      </c>
      <c r="K1" s="18" t="s">
        <v>63</v>
      </c>
      <c r="L1" s="18" t="s">
        <v>64</v>
      </c>
      <c r="M1" s="18" t="s">
        <v>65</v>
      </c>
      <c r="N1" s="18" t="s">
        <v>66</v>
      </c>
      <c r="O1" s="18" t="s">
        <v>67</v>
      </c>
    </row>
    <row r="2" spans="1:15">
      <c r="A2" s="19" t="s">
        <v>68</v>
      </c>
      <c r="B2" s="19" t="s">
        <v>69</v>
      </c>
      <c r="C2" s="19" t="s">
        <v>70</v>
      </c>
      <c r="D2" s="19" t="s">
        <v>71</v>
      </c>
      <c r="E2" s="19">
        <v>1</v>
      </c>
      <c r="F2" s="19">
        <v>2</v>
      </c>
      <c r="G2" s="19">
        <v>2000</v>
      </c>
      <c r="H2" s="19">
        <v>2</v>
      </c>
      <c r="I2" s="19">
        <v>0.2</v>
      </c>
      <c r="J2" s="19">
        <v>15</v>
      </c>
      <c r="K2" s="19">
        <v>3</v>
      </c>
      <c r="L2" s="19">
        <v>1</v>
      </c>
      <c r="M2" s="19">
        <v>1.05</v>
      </c>
      <c r="N2" s="19">
        <v>5</v>
      </c>
      <c r="O2" s="19" t="s">
        <v>72</v>
      </c>
    </row>
    <row r="3" spans="1:15">
      <c r="A3" s="19" t="s">
        <v>3</v>
      </c>
      <c r="B3" s="19" t="s">
        <v>73</v>
      </c>
      <c r="C3" s="19" t="s">
        <v>70</v>
      </c>
      <c r="D3" s="19" t="s">
        <v>71</v>
      </c>
      <c r="E3" s="19">
        <v>10</v>
      </c>
      <c r="F3" s="19">
        <v>6</v>
      </c>
      <c r="G3" s="19">
        <v>1500</v>
      </c>
      <c r="H3" s="19">
        <v>3</v>
      </c>
      <c r="I3" s="19">
        <v>0.2</v>
      </c>
      <c r="J3" s="19">
        <v>17</v>
      </c>
      <c r="K3" s="19">
        <v>7</v>
      </c>
      <c r="L3" s="19">
        <v>1</v>
      </c>
      <c r="M3" s="19">
        <v>1.1</v>
      </c>
      <c r="N3" s="19">
        <v>5</v>
      </c>
      <c r="O3" s="19" t="s">
        <v>74</v>
      </c>
    </row>
    <row r="4" spans="1:15">
      <c r="A4" s="19" t="s">
        <v>75</v>
      </c>
      <c r="B4" s="19" t="s">
        <v>76</v>
      </c>
      <c r="C4" s="19" t="s">
        <v>77</v>
      </c>
      <c r="D4" s="19" t="s">
        <v>71</v>
      </c>
      <c r="E4" s="19">
        <v>200</v>
      </c>
      <c r="F4" s="19">
        <v>12</v>
      </c>
      <c r="G4" s="19">
        <v>1200</v>
      </c>
      <c r="H4" s="19">
        <v>4</v>
      </c>
      <c r="I4" s="19">
        <v>0.2</v>
      </c>
      <c r="J4" s="19">
        <v>23</v>
      </c>
      <c r="K4" s="19">
        <v>12</v>
      </c>
      <c r="L4" s="19">
        <v>2</v>
      </c>
      <c r="M4" s="19">
        <v>1.15</v>
      </c>
      <c r="N4" s="19">
        <v>10</v>
      </c>
      <c r="O4" s="19" t="s">
        <v>78</v>
      </c>
    </row>
  </sheetData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J15" sqref="J15"/>
    </sheetView>
  </sheetViews>
  <sheetFormatPr defaultColWidth="9" defaultRowHeight="14.25" outlineLevelRow="5" outlineLevelCol="5"/>
  <cols>
    <col min="1" max="1" width="17.7964601769912" style="16" customWidth="1"/>
    <col min="2" max="2" width="15.9380530973451" style="16" customWidth="1"/>
    <col min="3" max="3" width="16.4690265486726" style="16" customWidth="1"/>
    <col min="4" max="4" width="16.1327433628319" style="16" customWidth="1"/>
    <col min="5" max="6" width="14.7345132743363" style="16"/>
    <col min="7" max="16384" width="9" style="16"/>
  </cols>
  <sheetData>
    <row r="1" spans="1:6">
      <c r="A1" s="17" t="s">
        <v>79</v>
      </c>
      <c r="B1" s="17" t="s">
        <v>80</v>
      </c>
      <c r="C1" s="17" t="s">
        <v>81</v>
      </c>
      <c r="D1" s="17" t="s">
        <v>82</v>
      </c>
      <c r="E1" s="17" t="s">
        <v>83</v>
      </c>
      <c r="F1" s="17" t="s">
        <v>84</v>
      </c>
    </row>
    <row r="2" spans="1:6">
      <c r="A2" s="16" t="s">
        <v>85</v>
      </c>
      <c r="B2" s="16">
        <f>((Inputs!B10*4*1200)-Summary!D2)*Inputs!B19/Summary!F2</f>
        <v>8.16386554621849</v>
      </c>
      <c r="C2" s="16">
        <f>((Inputs!B10*6*1200)-Summary!D2)*Inputs!B19/Summary!F2</f>
        <v>13.2058823529412</v>
      </c>
      <c r="D2" s="16">
        <f>((Inputs!B10*8*1200)-Summary!D2)*Inputs!B19/Summary!F2</f>
        <v>18.2478991596639</v>
      </c>
      <c r="E2" s="16">
        <f>((Inputs!B10*10*1200)-Summary!D2)*Inputs!B19/Summary!F2</f>
        <v>23.2899159663866</v>
      </c>
      <c r="F2" s="16">
        <f>((Inputs!B10*12*1200)-Summary!D2)*Inputs!B19/Summary!F2</f>
        <v>28.3319327731092</v>
      </c>
    </row>
    <row r="3" spans="1:6">
      <c r="A3" s="16" t="s">
        <v>86</v>
      </c>
      <c r="B3" s="16">
        <f>((Inputs!B10*4*1800)-Summary!D2)*Inputs!B19/Summary!F2</f>
        <v>13.2058823529412</v>
      </c>
      <c r="C3" s="16">
        <f>((Inputs!B10*6*1800)-Summary!D2)*Inputs!B19/Summary!F2</f>
        <v>20.7689075630252</v>
      </c>
      <c r="D3" s="16">
        <f>((Inputs!B10*8*1800)-Summary!D2)*Inputs!B19/Summary!F2</f>
        <v>28.3319327731092</v>
      </c>
      <c r="E3" s="16">
        <f>((Inputs!B10*10*1800)-Summary!D2)*Inputs!B19/Summary!F2</f>
        <v>35.8949579831933</v>
      </c>
      <c r="F3" s="16">
        <f>((Inputs!B10*12*1800)-Summary!D2)*Inputs!B19/Summary!F2</f>
        <v>43.4579831932773</v>
      </c>
    </row>
    <row r="4" spans="1:6">
      <c r="A4" s="16" t="s">
        <v>87</v>
      </c>
      <c r="B4" s="16">
        <f>((Inputs!B10*4*2200)-Summary!D2)*Inputs!B19/Summary!F2</f>
        <v>16.5672268907563</v>
      </c>
      <c r="C4" s="16">
        <f>((Inputs!B10*6*2200)-Summary!D2)*Inputs!B19/Summary!F2</f>
        <v>25.8109243697479</v>
      </c>
      <c r="D4" s="16">
        <f>((Inputs!B10*8*2200)-Summary!D2)*Inputs!B19/Summary!F2</f>
        <v>35.0546218487395</v>
      </c>
      <c r="E4" s="16">
        <f>((Inputs!B10*10*2200)-Summary!D2)*Inputs!B19/Summary!F2</f>
        <v>44.2983193277311</v>
      </c>
      <c r="F4" s="16">
        <f>((Inputs!B10*12*2200)-Summary!D2)*Inputs!B19/Summary!F2</f>
        <v>53.5420168067227</v>
      </c>
    </row>
    <row r="5" spans="1:6">
      <c r="A5" s="16" t="s">
        <v>88</v>
      </c>
      <c r="B5" s="16">
        <f>((Inputs!B10*4*2600)-Summary!D2)*Inputs!B19/Summary!F2</f>
        <v>19.9285714285714</v>
      </c>
      <c r="C5" s="16">
        <f>((Inputs!B10*6*2600)-Summary!D2)*Inputs!B19/Summary!F2</f>
        <v>30.8529411764706</v>
      </c>
      <c r="D5" s="16">
        <f>((Inputs!B10*8*2600)-Summary!D2)*Inputs!B19/Summary!F2</f>
        <v>41.7773109243698</v>
      </c>
      <c r="E5" s="16">
        <f>((Inputs!B10*10*2600)-Summary!D2)*Inputs!B19/Summary!F2</f>
        <v>52.7016806722689</v>
      </c>
      <c r="F5" s="16">
        <f>((Inputs!B10*12*2600)-Summary!D2)*Inputs!B19/Summary!F2</f>
        <v>63.6260504201681</v>
      </c>
    </row>
    <row r="6" spans="1:6">
      <c r="A6" s="16" t="s">
        <v>89</v>
      </c>
      <c r="B6" s="16">
        <f>((Inputs!B10*4*3000)-Summary!D2)*Inputs!B19/Summary!F2</f>
        <v>23.2899159663866</v>
      </c>
      <c r="C6" s="16">
        <f>((Inputs!B10*6*3000)-Summary!D2)*Inputs!B19/Summary!F2</f>
        <v>35.8949579831933</v>
      </c>
      <c r="D6" s="16">
        <f>((Inputs!B10*8*3000)-Summary!D2)*Inputs!B19/Summary!F2</f>
        <v>48.5</v>
      </c>
      <c r="E6" s="16">
        <f>((Inputs!B10*10*3000)-Summary!D2)*Inputs!B19/Summary!F2</f>
        <v>61.1050420168067</v>
      </c>
      <c r="F6" s="16">
        <f>((Inputs!B10*12*3000)-Summary!D2)*Inputs!B19/Summary!F2</f>
        <v>73.7100840336134</v>
      </c>
    </row>
  </sheetData>
  <conditionalFormatting sqref="B2:F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zoomScale="85" zoomScaleNormal="85" workbookViewId="0">
      <pane ySplit="1" topLeftCell="A32" activePane="bottomLeft" state="frozen"/>
      <selection/>
      <selection pane="bottomLeft" activeCell="B56" sqref="B56"/>
    </sheetView>
  </sheetViews>
  <sheetFormatPr defaultColWidth="9.02654867256637" defaultRowHeight="13.1" outlineLevelCol="3"/>
  <cols>
    <col min="1" max="1" width="51.5752212389381" style="3" customWidth="1"/>
    <col min="2" max="2" width="58.1769911504425" style="2" customWidth="1"/>
    <col min="3" max="3" width="45.8672566371681" style="2" customWidth="1"/>
    <col min="4" max="4" width="74.2743362831858" style="2" customWidth="1"/>
    <col min="5" max="16384" width="9.02654867256637" style="2"/>
  </cols>
  <sheetData>
    <row r="1" s="1" customFormat="1" ht="13.15" spans="1:4">
      <c r="A1" s="4" t="s">
        <v>90</v>
      </c>
      <c r="B1" s="4" t="s">
        <v>91</v>
      </c>
      <c r="C1" s="4" t="s">
        <v>92</v>
      </c>
      <c r="D1" s="4" t="s">
        <v>93</v>
      </c>
    </row>
    <row r="2" s="2" customFormat="1" spans="1:4">
      <c r="A2" s="5" t="s">
        <v>94</v>
      </c>
      <c r="B2" s="5"/>
      <c r="C2" s="5"/>
      <c r="D2" s="5"/>
    </row>
    <row r="3" s="2" customFormat="1" ht="25.5" spans="1:4">
      <c r="A3" s="6" t="s">
        <v>95</v>
      </c>
      <c r="B3" s="7" t="s">
        <v>96</v>
      </c>
      <c r="C3" s="7" t="s">
        <v>97</v>
      </c>
      <c r="D3" s="7" t="s">
        <v>98</v>
      </c>
    </row>
    <row r="4" s="2" customFormat="1" ht="13.15" spans="1:4">
      <c r="A4" s="6" t="s">
        <v>99</v>
      </c>
      <c r="B4" s="8" t="s">
        <v>100</v>
      </c>
      <c r="C4" s="7" t="s">
        <v>101</v>
      </c>
      <c r="D4" s="7"/>
    </row>
    <row r="5" s="2" customFormat="1" ht="13.15" spans="1:4">
      <c r="A5" s="6" t="s">
        <v>102</v>
      </c>
      <c r="B5" s="8" t="s">
        <v>103</v>
      </c>
      <c r="C5" s="7" t="s">
        <v>104</v>
      </c>
      <c r="D5" s="7"/>
    </row>
    <row r="6" s="2" customFormat="1" ht="13.15" spans="1:4">
      <c r="A6" s="6" t="s">
        <v>105</v>
      </c>
      <c r="B6" s="8" t="s">
        <v>106</v>
      </c>
      <c r="C6" s="7" t="s">
        <v>107</v>
      </c>
      <c r="D6" s="7"/>
    </row>
    <row r="7" s="2" customFormat="1" ht="13.15" spans="1:4">
      <c r="A7" s="6" t="s">
        <v>108</v>
      </c>
      <c r="B7" s="8" t="s">
        <v>109</v>
      </c>
      <c r="C7" s="7" t="s">
        <v>110</v>
      </c>
      <c r="D7" s="7"/>
    </row>
    <row r="8" s="2" customFormat="1" ht="13.15" spans="1:4">
      <c r="A8" s="6" t="s">
        <v>111</v>
      </c>
      <c r="B8" s="8" t="s">
        <v>112</v>
      </c>
      <c r="C8" s="7" t="s">
        <v>113</v>
      </c>
      <c r="D8" s="7"/>
    </row>
    <row r="9" s="2" customFormat="1" ht="144.4" spans="1:4">
      <c r="A9" s="6" t="s">
        <v>114</v>
      </c>
      <c r="B9" s="7" t="s">
        <v>115</v>
      </c>
      <c r="C9" s="7" t="s">
        <v>116</v>
      </c>
      <c r="D9" s="7" t="s">
        <v>117</v>
      </c>
    </row>
    <row r="10" s="2" customFormat="1" ht="13.15" spans="1:4">
      <c r="A10" s="6" t="s">
        <v>118</v>
      </c>
      <c r="B10" s="8" t="s">
        <v>119</v>
      </c>
      <c r="C10" s="7" t="s">
        <v>120</v>
      </c>
      <c r="D10" s="7"/>
    </row>
    <row r="11" s="2" customFormat="1" ht="13.15" spans="1:4">
      <c r="A11" s="6" t="s">
        <v>121</v>
      </c>
      <c r="B11" s="8" t="s">
        <v>122</v>
      </c>
      <c r="C11" s="7" t="s">
        <v>123</v>
      </c>
      <c r="D11" s="7"/>
    </row>
    <row r="12" s="2" customFormat="1" ht="13.15" spans="1:4">
      <c r="A12" s="6" t="s">
        <v>124</v>
      </c>
      <c r="B12" s="8" t="s">
        <v>125</v>
      </c>
      <c r="C12" s="7" t="s">
        <v>126</v>
      </c>
      <c r="D12" s="7"/>
    </row>
    <row r="13" s="2" customFormat="1" ht="13.15" spans="1:4">
      <c r="A13" s="6" t="s">
        <v>127</v>
      </c>
      <c r="B13" s="8" t="s">
        <v>128</v>
      </c>
      <c r="C13" s="7" t="s">
        <v>129</v>
      </c>
      <c r="D13" s="7"/>
    </row>
    <row r="14" spans="1:4">
      <c r="A14" s="6"/>
      <c r="B14" s="7"/>
      <c r="C14" s="7"/>
      <c r="D14" s="7"/>
    </row>
    <row r="15" s="2" customFormat="1" spans="1:4">
      <c r="A15" s="9" t="s">
        <v>130</v>
      </c>
      <c r="B15" s="9"/>
      <c r="C15" s="9"/>
      <c r="D15" s="9"/>
    </row>
    <row r="16" s="2" customFormat="1" ht="13.15" spans="1:4">
      <c r="A16" s="6" t="s">
        <v>131</v>
      </c>
      <c r="B16" s="7" t="s">
        <v>132</v>
      </c>
      <c r="C16" s="7" t="s">
        <v>133</v>
      </c>
      <c r="D16" s="7"/>
    </row>
    <row r="17" s="2" customFormat="1" ht="13.15" spans="1:4">
      <c r="A17" s="6" t="s">
        <v>134</v>
      </c>
      <c r="B17" s="8" t="s">
        <v>135</v>
      </c>
      <c r="C17" s="7" t="s">
        <v>136</v>
      </c>
      <c r="D17" s="7"/>
    </row>
    <row r="18" s="2" customFormat="1" ht="13.15" spans="1:4">
      <c r="A18" s="6" t="s">
        <v>137</v>
      </c>
      <c r="B18" s="8" t="s">
        <v>138</v>
      </c>
      <c r="C18" s="7" t="s">
        <v>139</v>
      </c>
      <c r="D18" s="7"/>
    </row>
    <row r="19" s="2" customFormat="1" ht="13.15" spans="1:4">
      <c r="A19" s="6" t="s">
        <v>140</v>
      </c>
      <c r="B19" s="8" t="s">
        <v>141</v>
      </c>
      <c r="C19" s="7" t="s">
        <v>142</v>
      </c>
      <c r="D19" s="7"/>
    </row>
    <row r="20" s="2" customFormat="1" ht="25.5" spans="1:4">
      <c r="A20" s="6" t="s">
        <v>143</v>
      </c>
      <c r="B20" s="8" t="s">
        <v>144</v>
      </c>
      <c r="C20" s="7" t="s">
        <v>145</v>
      </c>
      <c r="D20" s="7"/>
    </row>
    <row r="21" s="2" customFormat="1" ht="13.15" spans="1:4">
      <c r="A21" s="6" t="s">
        <v>146</v>
      </c>
      <c r="B21" s="8" t="s">
        <v>147</v>
      </c>
      <c r="C21" s="7" t="s">
        <v>148</v>
      </c>
      <c r="D21" s="7"/>
    </row>
    <row r="22" s="2" customFormat="1" ht="13.15" spans="1:4">
      <c r="A22" s="6" t="s">
        <v>149</v>
      </c>
      <c r="B22" s="8" t="s">
        <v>150</v>
      </c>
      <c r="C22" s="7" t="s">
        <v>151</v>
      </c>
      <c r="D22" s="7"/>
    </row>
    <row r="23" s="2" customFormat="1" ht="13.15" spans="1:4">
      <c r="A23" s="6" t="s">
        <v>152</v>
      </c>
      <c r="B23" s="8" t="s">
        <v>153</v>
      </c>
      <c r="C23" s="7" t="s">
        <v>154</v>
      </c>
      <c r="D23" s="7"/>
    </row>
    <row r="24" s="2" customFormat="1" ht="13.15" spans="1:4">
      <c r="A24" s="6" t="s">
        <v>155</v>
      </c>
      <c r="B24" s="8" t="s">
        <v>156</v>
      </c>
      <c r="C24" s="7" t="s">
        <v>157</v>
      </c>
      <c r="D24" s="7"/>
    </row>
    <row r="25" s="2" customFormat="1" ht="13.15" spans="1:4">
      <c r="A25" s="6" t="s">
        <v>158</v>
      </c>
      <c r="B25" s="8" t="s">
        <v>159</v>
      </c>
      <c r="C25" s="7" t="s">
        <v>160</v>
      </c>
      <c r="D25" s="7"/>
    </row>
    <row r="26" s="2" customFormat="1" spans="1:4">
      <c r="A26" s="10" t="s">
        <v>161</v>
      </c>
      <c r="B26" s="10"/>
      <c r="C26" s="10"/>
      <c r="D26" s="10"/>
    </row>
    <row r="27" s="2" customFormat="1" ht="26.25" spans="1:4">
      <c r="A27" s="11" t="s">
        <v>162</v>
      </c>
      <c r="B27" s="7" t="s">
        <v>163</v>
      </c>
      <c r="C27" s="7" t="s">
        <v>164</v>
      </c>
      <c r="D27" s="7"/>
    </row>
    <row r="28" s="2" customFormat="1" ht="26.25" spans="1:4">
      <c r="A28" s="11" t="s">
        <v>165</v>
      </c>
      <c r="B28" s="7" t="s">
        <v>166</v>
      </c>
      <c r="C28" s="7" t="s">
        <v>167</v>
      </c>
      <c r="D28" s="7"/>
    </row>
    <row r="29" s="2" customFormat="1" ht="26.25" spans="1:4">
      <c r="A29" s="11" t="s">
        <v>168</v>
      </c>
      <c r="B29" s="7" t="s">
        <v>169</v>
      </c>
      <c r="C29" s="7" t="s">
        <v>170</v>
      </c>
      <c r="D29" s="7"/>
    </row>
    <row r="30" s="2" customFormat="1" ht="26.25" spans="1:4">
      <c r="A30" s="11" t="s">
        <v>171</v>
      </c>
      <c r="B30" s="7" t="s">
        <v>172</v>
      </c>
      <c r="C30" s="7" t="s">
        <v>173</v>
      </c>
      <c r="D30" s="7"/>
    </row>
    <row r="31" s="2" customFormat="1" ht="26.25" spans="1:4">
      <c r="A31" s="11" t="s">
        <v>174</v>
      </c>
      <c r="B31" s="7" t="s">
        <v>175</v>
      </c>
      <c r="C31" s="7" t="s">
        <v>176</v>
      </c>
      <c r="D31" s="7"/>
    </row>
    <row r="32" s="2" customFormat="1" ht="65.25" spans="1:4">
      <c r="A32" s="11" t="s">
        <v>177</v>
      </c>
      <c r="B32" s="7" t="s">
        <v>178</v>
      </c>
      <c r="C32" s="7" t="s">
        <v>179</v>
      </c>
      <c r="D32" s="7" t="s">
        <v>180</v>
      </c>
    </row>
    <row r="33" s="2" customFormat="1" ht="26.25" spans="1:4">
      <c r="A33" s="11" t="s">
        <v>181</v>
      </c>
      <c r="B33" s="7" t="s">
        <v>182</v>
      </c>
      <c r="C33" s="7" t="s">
        <v>183</v>
      </c>
      <c r="D33" s="7"/>
    </row>
    <row r="34" s="2" customFormat="1" ht="26.25" spans="1:4">
      <c r="A34" s="11" t="s">
        <v>184</v>
      </c>
      <c r="B34" s="7" t="s">
        <v>185</v>
      </c>
      <c r="C34" s="7" t="s">
        <v>186</v>
      </c>
      <c r="D34" s="7"/>
    </row>
    <row r="35" s="2" customFormat="1" ht="26.25" spans="1:4">
      <c r="A35" s="11" t="s">
        <v>187</v>
      </c>
      <c r="B35" s="7" t="s">
        <v>188</v>
      </c>
      <c r="C35" s="7" t="s">
        <v>189</v>
      </c>
      <c r="D35" s="7"/>
    </row>
    <row r="36" s="2" customFormat="1" ht="26.25" spans="1:4">
      <c r="A36" s="11" t="s">
        <v>190</v>
      </c>
      <c r="B36" s="7" t="s">
        <v>191</v>
      </c>
      <c r="C36" s="7" t="s">
        <v>192</v>
      </c>
      <c r="D36" s="7"/>
    </row>
    <row r="37" s="2" customFormat="1" spans="1:4">
      <c r="A37" s="12" t="s">
        <v>193</v>
      </c>
      <c r="B37" s="12"/>
      <c r="C37" s="12"/>
      <c r="D37" s="12"/>
    </row>
    <row r="38" s="2" customFormat="1" ht="13.15" spans="1:4">
      <c r="A38" s="6" t="s">
        <v>194</v>
      </c>
      <c r="B38" s="7" t="s">
        <v>195</v>
      </c>
      <c r="C38" s="7" t="s">
        <v>196</v>
      </c>
      <c r="D38" s="7"/>
    </row>
    <row r="39" s="2" customFormat="1" ht="13.15" spans="1:4">
      <c r="A39" s="6" t="s">
        <v>197</v>
      </c>
      <c r="B39" s="7" t="s">
        <v>198</v>
      </c>
      <c r="C39" s="7" t="s">
        <v>199</v>
      </c>
      <c r="D39" s="7"/>
    </row>
    <row r="40" s="2" customFormat="1" ht="13.15" spans="1:4">
      <c r="A40" s="6" t="s">
        <v>200</v>
      </c>
      <c r="B40" s="7" t="s">
        <v>201</v>
      </c>
      <c r="C40" s="7" t="s">
        <v>202</v>
      </c>
      <c r="D40" s="7"/>
    </row>
    <row r="41" s="2" customFormat="1" ht="13.15" spans="1:4">
      <c r="A41" s="6" t="s">
        <v>174</v>
      </c>
      <c r="B41" s="7" t="s">
        <v>203</v>
      </c>
      <c r="C41" s="7" t="s">
        <v>204</v>
      </c>
      <c r="D41" s="7"/>
    </row>
    <row r="42" s="2" customFormat="1" ht="13.15" spans="1:4">
      <c r="A42" s="6" t="s">
        <v>205</v>
      </c>
      <c r="B42" s="7" t="s">
        <v>206</v>
      </c>
      <c r="C42" s="7" t="s">
        <v>207</v>
      </c>
      <c r="D42" s="7"/>
    </row>
    <row r="43" s="2" customFormat="1" ht="13.15" spans="1:4">
      <c r="A43" s="6" t="s">
        <v>208</v>
      </c>
      <c r="B43" s="7" t="s">
        <v>209</v>
      </c>
      <c r="C43" s="7" t="s">
        <v>210</v>
      </c>
      <c r="D43" s="7"/>
    </row>
    <row r="44" s="2" customFormat="1" ht="13.15" spans="1:4">
      <c r="A44" s="6" t="s">
        <v>211</v>
      </c>
      <c r="B44" s="7" t="s">
        <v>212</v>
      </c>
      <c r="C44" s="7" t="s">
        <v>213</v>
      </c>
      <c r="D44" s="7"/>
    </row>
    <row r="45" s="2" customFormat="1" ht="13.15" spans="1:4">
      <c r="A45" s="6" t="s">
        <v>214</v>
      </c>
      <c r="B45" s="7" t="s">
        <v>215</v>
      </c>
      <c r="C45" s="7" t="s">
        <v>216</v>
      </c>
      <c r="D45" s="7"/>
    </row>
    <row r="46" s="2" customFormat="1" spans="1:4">
      <c r="A46" s="13" t="s">
        <v>217</v>
      </c>
      <c r="B46" s="13"/>
      <c r="C46" s="13"/>
      <c r="D46" s="13"/>
    </row>
    <row r="47" s="2" customFormat="1" ht="13.15" spans="1:4">
      <c r="A47" s="6" t="s">
        <v>218</v>
      </c>
      <c r="B47" s="7" t="s">
        <v>219</v>
      </c>
      <c r="C47" s="7" t="s">
        <v>220</v>
      </c>
      <c r="D47" s="7"/>
    </row>
    <row r="48" s="2" customFormat="1" ht="13.15" spans="1:4">
      <c r="A48" s="6" t="s">
        <v>221</v>
      </c>
      <c r="B48" s="7" t="s">
        <v>222</v>
      </c>
      <c r="C48" s="7" t="s">
        <v>223</v>
      </c>
      <c r="D48" s="7"/>
    </row>
    <row r="49" s="2" customFormat="1" ht="25.9" spans="1:4">
      <c r="A49" s="6" t="s">
        <v>224</v>
      </c>
      <c r="B49" s="7" t="s">
        <v>225</v>
      </c>
      <c r="C49" s="7" t="s">
        <v>226</v>
      </c>
      <c r="D49" s="7"/>
    </row>
    <row r="50" spans="1:4">
      <c r="A50" s="14" t="s">
        <v>227</v>
      </c>
      <c r="B50" s="14"/>
      <c r="C50" s="14"/>
      <c r="D50" s="14"/>
    </row>
    <row r="51" s="2" customFormat="1" ht="13.15" spans="1:4">
      <c r="A51" s="6" t="s">
        <v>228</v>
      </c>
      <c r="B51" s="7" t="s">
        <v>229</v>
      </c>
      <c r="C51" s="7" t="s">
        <v>230</v>
      </c>
      <c r="D51" s="7"/>
    </row>
    <row r="52" s="2" customFormat="1" ht="13.15" spans="1:4">
      <c r="A52" s="6" t="s">
        <v>231</v>
      </c>
      <c r="B52" s="7" t="s">
        <v>232</v>
      </c>
      <c r="C52" s="7" t="s">
        <v>233</v>
      </c>
      <c r="D52" s="7"/>
    </row>
    <row r="53" s="2" customFormat="1" ht="13.15" spans="1:4">
      <c r="A53" s="6" t="s">
        <v>234</v>
      </c>
      <c r="B53" s="7" t="s">
        <v>235</v>
      </c>
      <c r="C53" s="7" t="s">
        <v>236</v>
      </c>
      <c r="D53" s="7"/>
    </row>
    <row r="54" s="2" customFormat="1" ht="13.15" spans="1:4">
      <c r="A54" s="6" t="s">
        <v>237</v>
      </c>
      <c r="B54" s="7" t="s">
        <v>238</v>
      </c>
      <c r="C54" s="7" t="s">
        <v>239</v>
      </c>
      <c r="D54" s="7"/>
    </row>
    <row r="55" s="2" customFormat="1" ht="13.15" spans="1:4">
      <c r="A55" s="6" t="s">
        <v>240</v>
      </c>
      <c r="B55" s="7" t="s">
        <v>241</v>
      </c>
      <c r="C55" s="7" t="s">
        <v>242</v>
      </c>
      <c r="D55" s="7"/>
    </row>
    <row r="56" s="2" customFormat="1" ht="13.15" spans="1:4">
      <c r="A56" s="6" t="s">
        <v>243</v>
      </c>
      <c r="B56" s="7" t="s">
        <v>244</v>
      </c>
      <c r="C56" s="7" t="s">
        <v>245</v>
      </c>
      <c r="D56" s="7"/>
    </row>
    <row r="57" s="2" customFormat="1" ht="13.15" spans="1:4">
      <c r="A57" s="6" t="s">
        <v>246</v>
      </c>
      <c r="B57" s="7" t="s">
        <v>247</v>
      </c>
      <c r="C57" s="7" t="s">
        <v>248</v>
      </c>
      <c r="D57" s="7"/>
    </row>
    <row r="58" s="2" customFormat="1" ht="13.15" spans="1:4">
      <c r="A58" s="6" t="s">
        <v>249</v>
      </c>
      <c r="B58" s="7" t="s">
        <v>250</v>
      </c>
      <c r="C58" s="7" t="s">
        <v>251</v>
      </c>
      <c r="D58" s="7"/>
    </row>
    <row r="59" s="2" customFormat="1" ht="13.15" spans="1:4">
      <c r="A59" s="6" t="s">
        <v>252</v>
      </c>
      <c r="B59" s="8" t="s">
        <v>122</v>
      </c>
      <c r="C59" s="7" t="s">
        <v>123</v>
      </c>
      <c r="D59" s="7"/>
    </row>
    <row r="60" s="2" customFormat="1" ht="13.15" spans="1:4">
      <c r="A60" s="6" t="s">
        <v>253</v>
      </c>
      <c r="B60" s="8" t="s">
        <v>125</v>
      </c>
      <c r="C60" s="7" t="s">
        <v>126</v>
      </c>
      <c r="D60" s="7"/>
    </row>
    <row r="61" s="2" customFormat="1" ht="13.15" spans="1:4">
      <c r="A61" s="6" t="s">
        <v>254</v>
      </c>
      <c r="B61" s="7" t="s">
        <v>255</v>
      </c>
      <c r="C61" s="7" t="s">
        <v>129</v>
      </c>
      <c r="D61" s="7"/>
    </row>
    <row r="62" spans="1:4">
      <c r="A62" s="15" t="s">
        <v>256</v>
      </c>
      <c r="B62" s="15"/>
      <c r="C62" s="15"/>
      <c r="D62" s="15"/>
    </row>
    <row r="63" s="2" customFormat="1" ht="13.15" spans="1:4">
      <c r="A63" s="6" t="s">
        <v>257</v>
      </c>
      <c r="B63" s="7"/>
      <c r="C63" s="7"/>
      <c r="D63" s="7"/>
    </row>
    <row r="64" s="2" customFormat="1" ht="26.25" spans="1:4">
      <c r="A64" s="6" t="s">
        <v>79</v>
      </c>
      <c r="B64" s="7" t="s">
        <v>258</v>
      </c>
      <c r="C64" s="7" t="s">
        <v>259</v>
      </c>
      <c r="D64" s="7"/>
    </row>
    <row r="65" s="2" customFormat="1" ht="13.15" spans="1:4">
      <c r="A65" s="6" t="s">
        <v>260</v>
      </c>
      <c r="B65" s="7" t="s">
        <v>261</v>
      </c>
      <c r="C65" s="7" t="s">
        <v>262</v>
      </c>
      <c r="D65" s="7"/>
    </row>
    <row r="66" s="2" customFormat="1" ht="13.15" spans="1:4">
      <c r="A66" s="6" t="s">
        <v>263</v>
      </c>
      <c r="B66" s="7" t="s">
        <v>264</v>
      </c>
      <c r="C66" s="7" t="s">
        <v>265</v>
      </c>
      <c r="D66" s="7"/>
    </row>
  </sheetData>
  <mergeCells count="7">
    <mergeCell ref="A2:D2"/>
    <mergeCell ref="A15:D15"/>
    <mergeCell ref="A26:D26"/>
    <mergeCell ref="A37:D37"/>
    <mergeCell ref="A46:D46"/>
    <mergeCell ref="A50:D50"/>
    <mergeCell ref="A62:D6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Inputs</vt:lpstr>
      <vt:lpstr>Devices</vt:lpstr>
      <vt:lpstr>Summary</vt:lpstr>
      <vt:lpstr>Yearly</vt:lpstr>
      <vt:lpstr>Dashboard</vt:lpstr>
      <vt:lpstr>Scenarios</vt:lpstr>
      <vt:lpstr>Sensitivity</vt:lpstr>
      <vt:lpstr>Data 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茺</cp:lastModifiedBy>
  <dcterms:created xsi:type="dcterms:W3CDTF">2025-09-10T14:43:00Z</dcterms:created>
  <dcterms:modified xsi:type="dcterms:W3CDTF">2026-01-07T19:28:38Z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AF878576A0734F8B8DB1412EE5317E25_12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